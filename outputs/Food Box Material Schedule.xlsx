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yan\site-materials\outputs\"/>
    </mc:Choice>
  </mc:AlternateContent>
  <bookViews>
    <workbookView minimized="1" xWindow="0" yWindow="0" windowWidth="20490" windowHeight="8205"/>
  </bookViews>
  <sheets>
    <sheet name="FOOD BOX" sheetId="1" r:id="rId1"/>
  </sheets>
  <definedNames>
    <definedName name="_xlnm._FilterDatabase" localSheetId="0" hidden="1">'FOOD BOX'!$A$5:$F$267</definedName>
  </definedNames>
  <calcPr calcId="162913"/>
</workbook>
</file>

<file path=xl/calcChain.xml><?xml version="1.0" encoding="utf-8"?>
<calcChain xmlns="http://schemas.openxmlformats.org/spreadsheetml/2006/main">
  <c r="F234" i="1" l="1"/>
  <c r="F233" i="1"/>
  <c r="F232" i="1"/>
  <c r="F231" i="1"/>
  <c r="F235" i="1" s="1"/>
  <c r="F262" i="1" s="1"/>
  <c r="F224" i="1"/>
  <c r="F223" i="1"/>
  <c r="F225" i="1" s="1"/>
  <c r="F261" i="1" s="1"/>
  <c r="F222" i="1"/>
  <c r="F215" i="1"/>
  <c r="F214" i="1"/>
  <c r="F213" i="1"/>
  <c r="F212" i="1"/>
  <c r="F211" i="1"/>
  <c r="F210" i="1"/>
  <c r="F209" i="1"/>
  <c r="F208" i="1"/>
  <c r="F216" i="1" s="1"/>
  <c r="F260" i="1" s="1"/>
  <c r="F201" i="1"/>
  <c r="F200" i="1"/>
  <c r="F199" i="1"/>
  <c r="F198" i="1"/>
  <c r="F197" i="1"/>
  <c r="F196" i="1"/>
  <c r="F195" i="1"/>
  <c r="F194" i="1"/>
  <c r="F193" i="1"/>
  <c r="F202" i="1" s="1"/>
  <c r="F259" i="1" s="1"/>
  <c r="F192" i="1"/>
  <c r="F185" i="1"/>
  <c r="F184" i="1"/>
  <c r="F186" i="1" s="1"/>
  <c r="F258" i="1" s="1"/>
  <c r="F177" i="1"/>
  <c r="F178" i="1" s="1"/>
  <c r="F257" i="1" s="1"/>
  <c r="F170" i="1"/>
  <c r="F171" i="1" s="1"/>
  <c r="F256" i="1" s="1"/>
  <c r="F163" i="1"/>
  <c r="F162" i="1"/>
  <c r="F164" i="1" s="1"/>
  <c r="F255" i="1" s="1"/>
  <c r="F155" i="1"/>
  <c r="F154" i="1"/>
  <c r="F153" i="1"/>
  <c r="F152" i="1"/>
  <c r="F156" i="1" s="1"/>
  <c r="F254" i="1" s="1"/>
  <c r="F151" i="1"/>
  <c r="F144" i="1"/>
  <c r="F143" i="1"/>
  <c r="F142" i="1"/>
  <c r="F141" i="1"/>
  <c r="F140" i="1"/>
  <c r="F145" i="1" s="1"/>
  <c r="F253" i="1" s="1"/>
  <c r="F134" i="1"/>
  <c r="F252" i="1" s="1"/>
  <c r="F133" i="1"/>
  <c r="F132" i="1"/>
  <c r="F131" i="1"/>
  <c r="F125" i="1"/>
  <c r="F251" i="1" s="1"/>
  <c r="F124" i="1"/>
  <c r="F123" i="1"/>
  <c r="F116" i="1"/>
  <c r="F115" i="1"/>
  <c r="F114" i="1"/>
  <c r="F113" i="1"/>
  <c r="F112" i="1"/>
  <c r="F111" i="1"/>
  <c r="F110" i="1"/>
  <c r="F109" i="1"/>
  <c r="F108" i="1"/>
  <c r="F107" i="1"/>
  <c r="F106" i="1"/>
  <c r="F105" i="1"/>
  <c r="F104" i="1"/>
  <c r="F117" i="1" s="1"/>
  <c r="F250" i="1" s="1"/>
  <c r="F103" i="1"/>
  <c r="F102" i="1"/>
  <c r="F95" i="1"/>
  <c r="F96" i="1" s="1"/>
  <c r="F249" i="1" s="1"/>
  <c r="F94" i="1"/>
  <c r="F87" i="1"/>
  <c r="F86" i="1"/>
  <c r="F85" i="1"/>
  <c r="F84" i="1"/>
  <c r="F83" i="1"/>
  <c r="F88" i="1" s="1"/>
  <c r="F248" i="1" s="1"/>
  <c r="F77" i="1"/>
  <c r="F247" i="1" s="1"/>
  <c r="F76" i="1"/>
  <c r="F69" i="1"/>
  <c r="F68" i="1"/>
  <c r="F67" i="1"/>
  <c r="F66" i="1"/>
  <c r="F65" i="1"/>
  <c r="F70" i="1" s="1"/>
  <c r="F246" i="1" s="1"/>
  <c r="F58" i="1"/>
  <c r="F57" i="1"/>
  <c r="F56" i="1"/>
  <c r="F55" i="1"/>
  <c r="F59" i="1" s="1"/>
  <c r="F245" i="1" s="1"/>
  <c r="F54" i="1"/>
  <c r="F53" i="1"/>
  <c r="F46" i="1"/>
  <c r="F45" i="1"/>
  <c r="F44" i="1"/>
  <c r="F43" i="1"/>
  <c r="F42" i="1"/>
  <c r="F41" i="1"/>
  <c r="F40" i="1"/>
  <c r="F39" i="1"/>
  <c r="F38" i="1"/>
  <c r="F37" i="1"/>
  <c r="F36" i="1"/>
  <c r="F35" i="1"/>
  <c r="F34" i="1"/>
  <c r="F47" i="1" s="1"/>
  <c r="F244" i="1" s="1"/>
  <c r="F33" i="1"/>
  <c r="F26" i="1"/>
  <c r="F25" i="1"/>
  <c r="F24" i="1"/>
  <c r="F23" i="1"/>
  <c r="F22" i="1"/>
  <c r="F21" i="1"/>
  <c r="F20" i="1"/>
  <c r="F19" i="1"/>
  <c r="F18" i="1"/>
  <c r="F17" i="1"/>
  <c r="F27" i="1" s="1"/>
  <c r="F243" i="1" s="1"/>
  <c r="F16" i="1"/>
  <c r="F9" i="1"/>
  <c r="F8" i="1"/>
  <c r="F10" i="1" s="1"/>
  <c r="F242" i="1" s="1"/>
  <c r="F264" i="1" l="1"/>
  <c r="F265" i="1" l="1"/>
  <c r="F267" i="1" s="1"/>
  <c r="F270" i="1" s="1"/>
</calcChain>
</file>

<file path=xl/sharedStrings.xml><?xml version="1.0" encoding="utf-8"?>
<sst xmlns="http://schemas.openxmlformats.org/spreadsheetml/2006/main" count="444" uniqueCount="172">
  <si>
    <t>FOOD BOX MATERIAL SCHEDULE</t>
  </si>
  <si>
    <t>Project: Food Box Rehabilitation</t>
  </si>
  <si>
    <t>Source: Food Box Priced BOQ | Budget VAT Exclusive: ZMW 735,670.10</t>
  </si>
  <si>
    <t>ITEM</t>
  </si>
  <si>
    <t>DESCRIPTION</t>
  </si>
  <si>
    <t>UNIT</t>
  </si>
  <si>
    <t>QTY</t>
  </si>
  <si>
    <t>PRICE (K)</t>
  </si>
  <si>
    <t>AMOUNT (K)</t>
  </si>
  <si>
    <t>PRELIMINARY AND GENERAL ITEMS</t>
  </si>
  <si>
    <t>A. Provide for the mobilization and demobilization of all necessary labour, materials, and equipment to and from the site, including all associated costs and logistics. Ensure that the project area and its surroundings are fully reinstated to their original condition prior to handover</t>
  </si>
  <si>
    <t>Item</t>
  </si>
  <si>
    <t>B. Allow for the provision of all required Personal Protective Equipment (PPE), including contractor-supplied scaffolds and ladders, and ensure full compliance with all Zambia Sugar SHEQ requirements</t>
  </si>
  <si>
    <t>Total Preliminary And General Items carried to Summary</t>
  </si>
  <si>
    <t>DEMOLITIONS</t>
  </si>
  <si>
    <t>A. Carefully remove all wooden doors along with existing mortice lock sets and handover to client</t>
  </si>
  <si>
    <t>Nr</t>
  </si>
  <si>
    <t>B. Careully remove existing window frames, door frames and barglars and handover to client</t>
  </si>
  <si>
    <t>item</t>
  </si>
  <si>
    <t>C. Carefully isolate power supply and remove all socket, Switch and light fittings together, handover to client and make good disturbed surfaces to receive new socket</t>
  </si>
  <si>
    <t>D. Carefully all shelvings , and all other floor mounted cabinets, counter tops and handover to client and prepare to receive new units</t>
  </si>
  <si>
    <t>E. Carefully remove all sanitary fittings including the double bowl sink, geyser and the like, and handover to client and prepare to receive new fittings</t>
  </si>
  <si>
    <t>F. Carefully remove existing ceiling, and handover to client and prepare to receive new specified ceiling</t>
  </si>
  <si>
    <t>G. Carefully hack out all tiles including skirting and prepare surface to receive new floor tiles</t>
  </si>
  <si>
    <t>H. Careully remove existing window frames, door frames and barglars and handover to client</t>
  </si>
  <si>
    <t>I. Carefully secure the LED screen adjacent to the structure and reinstate it to its original position</t>
  </si>
  <si>
    <t>J. Attend to builder's works to all trades e,g repairing of cracks, not measured elsewhere internally and externally as guided by the engineer.</t>
  </si>
  <si>
    <t>K. Demolish existing brick or block walls of any thickness, including breaking down, removing all debris from the site, and restoring adjoining structures as necessary. All work to be carried out as directed by the Project Manager, with disposal of waste at an authorized dump site(Chulu dump site)</t>
  </si>
  <si>
    <t>m2</t>
  </si>
  <si>
    <t>Total Demolitions carried to Summary</t>
  </si>
  <si>
    <t>EXCAVATION AND EARTHWORKS</t>
  </si>
  <si>
    <t>A. Excavating oversite average 150mm deep to remove top soil and disposal from site</t>
  </si>
  <si>
    <t>B. Excavate trench to receive foundations commencing at reduced level and not exceeding 1.50m deep</t>
  </si>
  <si>
    <t>m3</t>
  </si>
  <si>
    <t>C. Backfilling to foundations with materials arising from the excavations deposited and compacted in layers maximum 100mm thick</t>
  </si>
  <si>
    <t>D. Disposal of surplus excavated materials off site</t>
  </si>
  <si>
    <t>E. Compact bottom of foundation trenches</t>
  </si>
  <si>
    <t>F. Allow for planking and strutting to sides of all excavations</t>
  </si>
  <si>
    <t>G. Allow for keeping excavation free from general water</t>
  </si>
  <si>
    <t>H. Allow for removal of termite nests</t>
  </si>
  <si>
    <t>I. 15 Doidrin or equal and approved ant-termite treatment to all horizontal and vertical surfaces of excavations</t>
  </si>
  <si>
    <t>J. 150mm thick bed of hardcore laid level and well compacted to AASHO MOD 98%</t>
  </si>
  <si>
    <t>K. 50mm thick sand blinding on top of hardcore</t>
  </si>
  <si>
    <t>L. Ditto: on foundation surfaces</t>
  </si>
  <si>
    <t>M. 15 Doidrin or equal and approved ant-termite treatment to the surface of the hardcore filling</t>
  </si>
  <si>
    <t>N. 500g polythene membrane laid on sand blinding (measured net)</t>
  </si>
  <si>
    <t>Total Excavation And Earthworks carried to Summary</t>
  </si>
  <si>
    <t>CONCRETE WORK</t>
  </si>
  <si>
    <t>O. 100mm thick slab laid level</t>
  </si>
  <si>
    <t>P. Concrete in trench foundations</t>
  </si>
  <si>
    <t>A. Ring beam and lintels</t>
  </si>
  <si>
    <t>B. To sides and soffits of lintels</t>
  </si>
  <si>
    <t>m</t>
  </si>
  <si>
    <t>C. 8mm diameter High yield steel bars</t>
  </si>
  <si>
    <t>kg</t>
  </si>
  <si>
    <t>D. 12mm diameter high yield steel bars</t>
  </si>
  <si>
    <t>Total Concrete Work carried to Summary</t>
  </si>
  <si>
    <t>EXCAVATION AND EARTHWORKS CONT'D</t>
  </si>
  <si>
    <t>A. One layer of conforce '86' or other equal and approved fabric reinforcement in concrete bed with minimum laps of 150mm (no allowance made for laps)</t>
  </si>
  <si>
    <t>B. Edges of floor slab not exceeding 100mm high</t>
  </si>
  <si>
    <t>C. 200mm thick (nominal) solid blockwall</t>
  </si>
  <si>
    <t>D. 2M built in between 200mm thick blockwork every second course</t>
  </si>
  <si>
    <t>E. Blockwalls of plinth</t>
  </si>
  <si>
    <t>Total Excavation And Earthworks Cont'D carried to Summary</t>
  </si>
  <si>
    <t>PAINTING AND DECORATING (EXTERNAL)</t>
  </si>
  <si>
    <t>F. Plastered walls of plinth</t>
  </si>
  <si>
    <t>Total Painting And Decorating (External) carried to Summary</t>
  </si>
  <si>
    <t>BLOCKWORK AND BRICKWORK</t>
  </si>
  <si>
    <t>A. 150mm thick hollow blockwall</t>
  </si>
  <si>
    <t>B. Brick on edge window sill in cement mortar 1:4</t>
  </si>
  <si>
    <t>C. 1.5M brickforce built in 200mm thick blockwork every third course</t>
  </si>
  <si>
    <t>D. To 150mm blockwall</t>
  </si>
  <si>
    <t>E. 200 x 200mm square hole pattern UPVC air brick with insect proof gauze at back and built into wall including making hole size 200 x 200mm through 200mm blockwalls and making good finishing around</t>
  </si>
  <si>
    <t>Total Blockwork And Brickwork carried to Summary</t>
  </si>
  <si>
    <t>ROOFING</t>
  </si>
  <si>
    <t>A. Roof sheets fixed to timber trusses (measured separately)</t>
  </si>
  <si>
    <t>B. Cranked ridge capping</t>
  </si>
  <si>
    <t>Total Roofing carried to Summary</t>
  </si>
  <si>
    <t>CARPENTRY, JOINERY AND IRONMONGERY</t>
  </si>
  <si>
    <t>A. 8mm thikc particle board nailed onto 50mm x 50mm softwood branderng at 600mm centers complete with cover strips and cover cornices (brandering measured seperately)</t>
  </si>
  <si>
    <t>B. 44mm (finished) door size 825 x 1960mm hung on butts to metal frame (measured separately)</t>
  </si>
  <si>
    <t>C. 225 x 25mm wrot softwood to rafters</t>
  </si>
  <si>
    <t>D. 150 x 50mm raftres, ceiling joists, struts and ties</t>
  </si>
  <si>
    <t>E. 100 x 50mm wall plate</t>
  </si>
  <si>
    <t>F. 75 x 50mm purlins</t>
  </si>
  <si>
    <t>G. 50 x 50mm brandering</t>
  </si>
  <si>
    <t>H. Two lever mortice lock with chromium plated finished for-end and set of chromium plated finished lever handle furniture fixed to door</t>
  </si>
  <si>
    <t>I. Supply and install high gloss white modular kitchen units with carcases made from durable MDF board, including base cabinets, wall-mounted cabinets, and drawer units. Units to be complete with soft-close hinges, handles, and all necessary fittings. Provide and install polished 30mm thick black granite countertops, including precision cutouts for appliances and sinks, securely fixed using appropriate adhesives and sealants. The work includes the installation of integrated appliances, completion of all required plumbing and electrical connections, and ensuring all surfaces are aligned, polished, and finished to a high standard. Include all fasteners, brackets, trims, and sealants, with final testing and adjustments to meet the approved design and specifications.(to include the counter top for the point of sale)</t>
  </si>
  <si>
    <t>J. Supply and install heavy-duty steel kitchen shelving brackets, L-shaped design with reinforced ribs, powder-coated finish for corrosion resistance, size approximately 300 mm x 300 mm (or as specified), capable of supporting 20–50 kg per bracket. Complete with pre-drilled holes, screws, and wall plugs for secure fixing.</t>
  </si>
  <si>
    <t>K. 18mm thick blockboards shelving suitable for painting</t>
  </si>
  <si>
    <t>L. 12x12mm wrot hardwood lipping glued and pinned to edges of the shelves</t>
  </si>
  <si>
    <t>A. Supply and install high-quality roller blinds for windows, made from durable fabric with UV protection, complete with aluminum top rail, chain control mechanism, and all necessary brackets and fittings. Blinds to be custom-fitted to window size.</t>
  </si>
  <si>
    <t>B. 38mm diameter rubber door stop plugged and screwed to floors</t>
  </si>
  <si>
    <t>C. Supply and install Aluminium under door seal</t>
  </si>
  <si>
    <t>Total Carpentry, Joinery And Ironmongery carried to Summary</t>
  </si>
  <si>
    <t>METALWORK</t>
  </si>
  <si>
    <t>A. Type 1.5 M, nominal size 900 x 2000mm</t>
  </si>
  <si>
    <t>B. Window overall size 2000 width x 1000mm high</t>
  </si>
  <si>
    <t>Total Metalwork carried to Summary</t>
  </si>
  <si>
    <t>PLUMBING</t>
  </si>
  <si>
    <t>A. 19mm diameter pipes</t>
  </si>
  <si>
    <t>B. 13mm diameter pipes</t>
  </si>
  <si>
    <t>water heater with 19mm diametre inlet and outlet, monarch type</t>
  </si>
  <si>
    <t>Total Plumbing carried to Summary</t>
  </si>
  <si>
    <t>BRASS WORK AND SUNDRIES</t>
  </si>
  <si>
    <t>D. 19mm diameter brass screw down stop valve with capstan head and joints to 19mm diameter pipe</t>
  </si>
  <si>
    <t>E. 13mm diameter brass screw down stop valve with capstan head and joints to 13mm diameter pipe</t>
  </si>
  <si>
    <t>F. 13mm diameter copper connector, 300mm girth bent as required with joint to union of fitting and other galvanised mild steel and uPVC pipes</t>
  </si>
  <si>
    <t>G. Cobra water tech 19mm swivel type chromium plated sink mixer</t>
  </si>
  <si>
    <t>H. Allow for all the plumbing fittings(extra over pieces)</t>
  </si>
  <si>
    <t>Total Brass Work And Sundries carried to Summary</t>
  </si>
  <si>
    <t>SOIL DRAINAGE INSTALLATION</t>
  </si>
  <si>
    <t>J. 110 mm diameter waste pipe</t>
  </si>
  <si>
    <t>K. 50mm diameter waste pipe</t>
  </si>
  <si>
    <t>L. Allow for all the plumbing fittings(extra over pipes)</t>
  </si>
  <si>
    <t>M. RO 200 SV NW 100 under floor drain complete with 50mm diameter 'P' trap and 110mm diameter tail piece with and including coated cast iron grating including surrounding, fixed to UPVC drain pipes, etc.</t>
  </si>
  <si>
    <t>A. 110mm diameter Gulley 'P' trap with and including coated cast iron grating including surrounding, with 150mm thick built up wall on all four sides of the gully trap, rendering in c : m 1 :3 , concealed with concrete cover slab , thickness 100mm with medium duty manhole cover including all excavation and disposal as described fixed to UPVC drain pipes</t>
  </si>
  <si>
    <t>Total Soil Drainage Installation carried to Summary</t>
  </si>
  <si>
    <t>SANITARY FITTINGS</t>
  </si>
  <si>
    <t>B. Armitage shanks vitreous china wash hand basin with 32mm chromium plated outlet, plugs, chain and pair of 13mm "Cobra" water tech" pillar taps the whole neatly fixed on the granite counter top.</t>
  </si>
  <si>
    <t>C. Standard double bowl stainless steel sink complete with 32mm waste, plug, chain and 13mm sink mixer the whole mounted to floor and wall(sink mixture measured separately)</t>
  </si>
  <si>
    <t>Total Sanitary Fittings carried to Summary</t>
  </si>
  <si>
    <t>CHRONINATION</t>
  </si>
  <si>
    <t>D. Include for sterilization of entire of the water system to Architects satisfaction</t>
  </si>
  <si>
    <t>Total Chronination carried to Summary</t>
  </si>
  <si>
    <t>TESTING</t>
  </si>
  <si>
    <t>E. Including for testing the whole of the plumbing installation on completion by means of a pressure test to one and a half times the working pressure</t>
  </si>
  <si>
    <t>Total Testing carried to Summary</t>
  </si>
  <si>
    <t>BUILDERS WORK</t>
  </si>
  <si>
    <t>F. Hole through 200mm blockwall for small pipes and make good</t>
  </si>
  <si>
    <t>G. 700W x 700L x 5000mm deep Manhole complete with and including 457 x 457mm concrete Manhole Cover; complete with surrounding in 150mm thick built up solid wall on all four sides, 20mm rendering in C : M 1:3; concrete haunching cover slab finished with angles including rebated opening for manhole cover; all necessary excavation, backfill and disposal</t>
  </si>
  <si>
    <t>Total Builders Work carried to Summary</t>
  </si>
  <si>
    <t>ELECTRICAL INSTALLATION</t>
  </si>
  <si>
    <t>A. 12 Way TPN, Flush type lockable, white in colour, Districution Board consisting of:</t>
  </si>
  <si>
    <t>B. 2 x 36W Ceiling mounted batten fluorescent light fitting 1200 mm long as 111/136/SS</t>
  </si>
  <si>
    <t>C. 1 x 36W Ceiling, wall or roof mounted batten fluorescent light fitting 1200 mm long as 111/136/SS</t>
  </si>
  <si>
    <t>D. 1 x 36W wall mounted batten fluorescent light fitting 1200 mm long as 111/136/SS</t>
  </si>
  <si>
    <t>E. One gang one way wall switch (MK or simillar)</t>
  </si>
  <si>
    <t>F. Two gang one way wall switch (MK or simillar)</t>
  </si>
  <si>
    <t>A. 13 Amps Double socket outlet (MK or simillar)</t>
  </si>
  <si>
    <t>B. 6 x 6 cooker control unit with pilot lamps (MK or simillar)</t>
  </si>
  <si>
    <t>C. 20A geyser Switch with pilot lamp (MK or simillar)</t>
  </si>
  <si>
    <t>D. Supply, deliver, install, and commission a commercial-grade stainless steel kitchen extraction hood complete with ducting, fan, and accessories. Technical Specifications: - Material: Food-grade stainless steel (SS304), 1.0 mm thickness, polished finish. - Dimensions: 1200 mm – 1500 mm wide, 600 mm deep, 450 mm high. - Filters: Stainless steel baffle-type grease filters, removable and washable. - Airflow Capacity: 800–1500 m³/hr. - Fan/Blower: Heavy-duty centrifugal fan, motor IP55 rated, low noise (65 dB), vibration isolators included. - Ducting: Galvanized steel ductwork with bends, supports, and airtight joints. - Lighting: Integrated LED lights (minimum 2 x 5W). - Electrical: Complete wiring from isolator to fan motor, including control switch. - Accessories: Drip trays, condensate drain, and mounting brackets. - Compliance: Conforms to local health and safety standards for commercial kitchens. - Installation: Includes all fixings, supports, sealing, and testing. - Testing &amp; Commissioning: Verify airflow, noise level, and safe operation.</t>
  </si>
  <si>
    <t>Total Electrical Installation carried to Summary</t>
  </si>
  <si>
    <t>FLOOR AND WALL FINISHINGS</t>
  </si>
  <si>
    <t>A. 40mm thick bed laid level on concrete bed</t>
  </si>
  <si>
    <t>B. To floor areas</t>
  </si>
  <si>
    <t>C. To all general areas</t>
  </si>
  <si>
    <t>D. To the kitchen walls</t>
  </si>
  <si>
    <t>F. 20mm coat to block walls surfaces</t>
  </si>
  <si>
    <t>G. 20 mm render to small widths and reveals, girth 100mm to 200mm wide externally</t>
  </si>
  <si>
    <t>I. 20mm coat to block walls surfaces</t>
  </si>
  <si>
    <t>J. 20 mm render to small widths and reveals, girth 100mm to 200mm wide internally</t>
  </si>
  <si>
    <t>Total Floor And Wall Finishings carried to Summary</t>
  </si>
  <si>
    <t>INTERNALLY</t>
  </si>
  <si>
    <t>A. To plastered walls</t>
  </si>
  <si>
    <t>B. Ditto exceeding 100mm but not exceeding 200mm wide</t>
  </si>
  <si>
    <t>C. To ceiling borad surfaces</t>
  </si>
  <si>
    <t>Total Internally carried to Summary</t>
  </si>
  <si>
    <t>EXTERNALLY</t>
  </si>
  <si>
    <t>D. Plastered walls</t>
  </si>
  <si>
    <t>E. Ditto exceeding 100mm not exceeding 200mm wide</t>
  </si>
  <si>
    <t>F. Door frame surfaces</t>
  </si>
  <si>
    <t>G. Fascia board surfaces</t>
  </si>
  <si>
    <t>Total Externally carried to Summary</t>
  </si>
  <si>
    <t>SUMMARY</t>
  </si>
  <si>
    <t>K</t>
  </si>
  <si>
    <t>SUBTOTAL</t>
  </si>
  <si>
    <t>ADD: CONTINGENCY @ 10%</t>
  </si>
  <si>
    <t>GRAND TOTAL - VAT EXCLUSIVE</t>
  </si>
  <si>
    <t>CHECK AGAINST SOURCE BOQ GRAND TOTAL</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</si>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</sst>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4"/>
      <color rgb="FFFFFFFF"/>
      <name val="Calibri"/>
    </font>
    <font>
      <b/>
      <sz val="10"/>
      <name val="Calibri"/>
    </font>
    <font>
      <b/>
      <sz val="11"/>
      <name val="Calibri"/>
    </font>
    <font>
      <b/>
      <sz val="11"/>
      <name val="Calibri"/>
    </font>
    <font>
      <sz val="10"/>
      <name val="Calibri"/>
    </font>
    <font>
      <i/>
      <sz val="10"/>
      <name val="Calibri"/>
    </font>
    <font>
      <b/>
      <i/>
      <sz val="10"/>
      <name val="Calibri"/>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D9EAD3"/>
      </patternFill>
    </fill>
    <fill>
      <patternFill patternType="solid">
        <fgColor rgb="FFE2F0D9"/>
      </patternFill>
    </fill>
    <fill>
      <patternFill patternType="solid">
        <fgColor rgb="FFFFF2CC"/>
      </patternFill>
    </fill>
    <fill>
      <patternFill patternType="solid">
        <fgColor rgb="FFF4CCCC"/>
      </patternFill>
    </fill>
  </fills>
  <borders count="7">
    <border>
      <left/>
      <right/>
      <top/>
      <bottom/>
      <diagonal/>
    </border>
    <border>
      <left style="thin">
        <color rgb="FF000000"/>
      </left>
      <right style="thin">
        <color rgb="FF000000"/>
      </right>
      <top style="medium">
        <color rgb="FF000000"/>
      </top>
      <bottom style="medium">
        <color rgb="FF000000"/>
      </bottom>
      <diagonal/>
    </border>
    <border>
      <left/>
      <right/>
      <top style="thin">
        <color rgb="FF000000"/>
      </top>
      <bottom style="thin">
        <color rgb="FF000000"/>
      </bottom>
      <diagonal/>
    </border>
    <border>
      <left/>
      <right/>
      <top/>
      <bottom style="hair">
        <color rgb="FFB7B7B7"/>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medium">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vertical="center"/>
    </xf>
    <xf numFmtId="4" fontId="1" fillId="2" borderId="0" xfId="0" applyNumberFormat="1" applyFont="1" applyFill="1" applyAlignment="1">
      <alignment horizontal="left" vertical="center"/>
    </xf>
    <xf numFmtId="0" fontId="2" fillId="3" borderId="0" xfId="0" applyFont="1" applyFill="1" applyAlignment="1">
      <alignment horizontal="left" vertical="center"/>
    </xf>
    <xf numFmtId="4" fontId="2" fillId="3" borderId="0" xfId="0" applyNumberFormat="1" applyFont="1" applyFill="1" applyAlignment="1">
      <alignment horizontal="left" vertical="center"/>
    </xf>
    <xf numFmtId="4" fontId="0" fillId="0" borderId="0" xfId="0" applyNumberFormat="1"/>
    <xf numFmtId="0" fontId="3" fillId="4" borderId="1" xfId="0" applyFont="1" applyFill="1" applyBorder="1" applyAlignment="1">
      <alignment horizontal="center" vertical="center" wrapText="1"/>
    </xf>
    <xf numFmtId="4" fontId="3" fillId="4" borderId="1" xfId="0" applyNumberFormat="1" applyFont="1" applyFill="1" applyBorder="1" applyAlignment="1">
      <alignment horizontal="center" vertical="center" wrapText="1"/>
    </xf>
    <xf numFmtId="0" fontId="4" fillId="5" borderId="2" xfId="0" applyFont="1" applyFill="1" applyBorder="1" applyAlignment="1">
      <alignment horizontal="left" vertical="center" wrapText="1"/>
    </xf>
    <xf numFmtId="4" fontId="4" fillId="5" borderId="2" xfId="0" applyNumberFormat="1" applyFont="1" applyFill="1" applyBorder="1" applyAlignment="1">
      <alignment horizontal="left" vertical="center" wrapText="1"/>
    </xf>
    <xf numFmtId="0" fontId="5" fillId="0" borderId="3" xfId="0" applyFont="1" applyBorder="1" applyAlignment="1">
      <alignment horizontal="center" vertical="top" wrapText="1"/>
    </xf>
    <xf numFmtId="0" fontId="5" fillId="0" borderId="3" xfId="0" applyFont="1" applyBorder="1" applyAlignment="1">
      <alignment horizontal="left" vertical="top" wrapText="1"/>
    </xf>
    <xf numFmtId="4" fontId="5" fillId="0" borderId="3" xfId="0" applyNumberFormat="1" applyFont="1" applyBorder="1" applyAlignment="1">
      <alignment horizontal="center" vertical="top" wrapText="1"/>
    </xf>
    <xf numFmtId="0" fontId="2" fillId="6" borderId="4" xfId="0" applyFont="1" applyFill="1" applyBorder="1" applyAlignment="1">
      <alignment horizontal="right" vertical="center" wrapText="1"/>
    </xf>
    <xf numFmtId="0" fontId="2" fillId="6" borderId="4" xfId="0" applyFont="1" applyFill="1" applyBorder="1" applyAlignment="1">
      <alignment horizontal="left" vertical="center" wrapText="1"/>
    </xf>
    <xf numFmtId="4" fontId="2" fillId="6" borderId="4" xfId="0" applyNumberFormat="1" applyFont="1" applyFill="1" applyBorder="1" applyAlignment="1">
      <alignment horizontal="right" vertical="center" wrapText="1"/>
    </xf>
    <xf numFmtId="0" fontId="4" fillId="5" borderId="5" xfId="0" applyFont="1" applyFill="1" applyBorder="1"/>
    <xf numFmtId="4" fontId="4" fillId="5" borderId="5" xfId="0" applyNumberFormat="1" applyFont="1" applyFill="1" applyBorder="1"/>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4" fontId="5" fillId="0" borderId="3" xfId="0" applyNumberFormat="1" applyFont="1" applyBorder="1" applyAlignment="1">
      <alignment horizontal="center" vertical="center" wrapText="1"/>
    </xf>
    <xf numFmtId="0" fontId="2" fillId="6" borderId="6" xfId="0" applyFont="1" applyFill="1" applyBorder="1" applyAlignment="1">
      <alignment horizontal="center" vertical="center"/>
    </xf>
    <xf numFmtId="0" fontId="2" fillId="6" borderId="6" xfId="0" applyFont="1" applyFill="1" applyBorder="1" applyAlignment="1">
      <alignment horizontal="left" vertical="center"/>
    </xf>
    <xf numFmtId="4" fontId="2" fillId="6" borderId="6" xfId="0" applyNumberFormat="1" applyFont="1" applyFill="1" applyBorder="1" applyAlignment="1">
      <alignment horizontal="center" vertical="center"/>
    </xf>
    <xf numFmtId="0" fontId="2" fillId="7" borderId="4" xfId="0" applyFont="1" applyFill="1" applyBorder="1" applyAlignment="1">
      <alignment horizontal="center" vertical="center"/>
    </xf>
    <xf numFmtId="0" fontId="2" fillId="7" borderId="4" xfId="0" applyFont="1" applyFill="1" applyBorder="1" applyAlignment="1">
      <alignment horizontal="left" vertical="center"/>
    </xf>
    <xf numFmtId="4" fontId="2" fillId="7" borderId="4" xfId="0" applyNumberFormat="1"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4" fontId="6" fillId="0" borderId="0" xfId="0" applyNumberFormat="1" applyFont="1" applyAlignment="1">
      <alignment horizontal="center"/>
    </xf>
    <xf numFmtId="0" fontId="7" fillId="0" borderId="0" xfId="0" applyFont="1" applyAlignment="1">
      <alignment horizontal="center"/>
    </xf>
    <xf numFmtId="0" fontId="7" fillId="0" borderId="0" xfId="0" applyFont="1" applyAlignment="1">
      <alignment horizontal="left"/>
    </xf>
    <xf numFmtId="4" fontId="7"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showGridLines="0" tabSelected="1" workbookViewId="0">
      <pane ySplit="4" topLeftCell="A117" activePane="bottomLeft" state="frozen"/>
      <selection pane="bottomLeft"/>
    </sheetView>
  </sheetViews>
  <sheetFormatPr defaultRowHeight="15" x14ac:dyDescent="0.25"/>
  <cols>
    <col min="1" max="1" width="6.42578125" customWidth="1"/>
    <col min="2" max="2" width="65.5703125" customWidth="1"/>
    <col min="3" max="3" width="7.5703125" customWidth="1"/>
    <col min="4" max="4" width="5.28515625" customWidth="1"/>
    <col min="5" max="5" width="10" customWidth="1"/>
    <col min="6" max="6" width="14.28515625" customWidth="1"/>
    <col min="7" max="7" width="12.7109375" customWidth="1"/>
  </cols>
  <sheetData>
    <row r="1" spans="1:7" ht="24" customHeight="1" x14ac:dyDescent="0.25">
      <c r="A1" s="1"/>
      <c r="B1" s="1" t="s">
        <v>0</v>
      </c>
      <c r="C1" s="1"/>
      <c r="D1" s="2"/>
      <c r="E1" s="2"/>
      <c r="F1" s="2"/>
    </row>
    <row r="2" spans="1:7" ht="20.100000000000001" customHeight="1" x14ac:dyDescent="0.25">
      <c r="A2" s="3"/>
      <c r="B2" s="3" t="s">
        <v>1</v>
      </c>
      <c r="C2" s="3"/>
      <c r="D2" s="4"/>
      <c r="E2" s="4"/>
      <c r="F2" s="4"/>
    </row>
    <row r="3" spans="1:7" ht="20.100000000000001" customHeight="1" x14ac:dyDescent="0.25">
      <c r="A3" s="3"/>
      <c r="B3" s="3" t="s">
        <v>2</v>
      </c>
      <c r="C3" s="3"/>
      <c r="D3" s="4"/>
      <c r="E3" s="4"/>
      <c r="F3" s="4"/>
    </row>
    <row r="4" spans="1:7" ht="18" customHeight="1" x14ac:dyDescent="0.25">
      <c r="D4" s="5"/>
      <c r="E4" s="5"/>
      <c r="F4" s="5"/>
    </row>
    <row r="5" spans="1:7" ht="18" customHeight="1" x14ac:dyDescent="0.25">
      <c r="A5" s="6" t="s">
        <v>3</v>
      </c>
      <c r="B5" s="6" t="s">
        <v>4</v>
      </c>
      <c r="C5" s="6" t="s">
        <v>5</v>
      </c>
      <c r="D5" s="7" t="s">
        <v>6</v>
      </c>
      <c r="E5" s="7" t="s">
        <v>7</v>
      </c>
      <c r="F5" s="7" t="s">
        <v>8</v>
      </c>
      <c r="G5" s="6"/>
    </row>
    <row r="6" spans="1:7" ht="18" customHeight="1" x14ac:dyDescent="0.25">
      <c r="A6" s="8"/>
      <c r="B6" s="8" t="s">
        <v>9</v>
      </c>
      <c r="C6" s="8"/>
      <c r="D6" s="9"/>
      <c r="E6" s="9"/>
      <c r="F6" s="9"/>
    </row>
    <row r="7" spans="1:7" ht="18" customHeight="1" x14ac:dyDescent="0.25">
      <c r="D7" s="5"/>
      <c r="E7" s="5"/>
      <c r="F7" s="5"/>
    </row>
    <row r="8" spans="1:7" ht="60" customHeight="1" x14ac:dyDescent="0.25">
      <c r="A8" s="10">
        <v>1</v>
      </c>
      <c r="B8" s="11" t="s">
        <v>10</v>
      </c>
      <c r="C8" s="10" t="s">
        <v>11</v>
      </c>
      <c r="D8" s="12">
        <v>1</v>
      </c>
      <c r="E8" s="12">
        <v>7600</v>
      </c>
      <c r="F8" s="12">
        <f>E8*D8</f>
        <v>7600</v>
      </c>
    </row>
    <row r="9" spans="1:7" ht="45" customHeight="1" x14ac:dyDescent="0.25">
      <c r="A9" s="10">
        <v>2</v>
      </c>
      <c r="B9" s="11" t="s">
        <v>12</v>
      </c>
      <c r="C9" s="10" t="s">
        <v>11</v>
      </c>
      <c r="D9" s="12">
        <v>1</v>
      </c>
      <c r="E9" s="12">
        <v>7370</v>
      </c>
      <c r="F9" s="12">
        <f>E9*D9</f>
        <v>7370</v>
      </c>
    </row>
    <row r="10" spans="1:7" ht="18" customHeight="1" x14ac:dyDescent="0.25">
      <c r="A10" s="13"/>
      <c r="B10" s="14" t="s">
        <v>13</v>
      </c>
      <c r="C10" s="13"/>
      <c r="D10" s="15"/>
      <c r="E10" s="15"/>
      <c r="F10" s="15">
        <f>SUM(F8:F9)</f>
        <v>14970</v>
      </c>
    </row>
    <row r="11" spans="1:7" ht="18" customHeight="1" x14ac:dyDescent="0.25">
      <c r="D11" s="5"/>
      <c r="E11" s="5"/>
      <c r="F11" s="5"/>
    </row>
    <row r="12" spans="1:7" ht="18" customHeight="1" x14ac:dyDescent="0.25">
      <c r="D12" s="5"/>
      <c r="E12" s="5"/>
      <c r="F12" s="5"/>
    </row>
    <row r="13" spans="1:7" ht="18" customHeight="1" x14ac:dyDescent="0.25">
      <c r="A13" s="6" t="s">
        <v>3</v>
      </c>
      <c r="B13" s="6" t="s">
        <v>4</v>
      </c>
      <c r="C13" s="6" t="s">
        <v>5</v>
      </c>
      <c r="D13" s="7" t="s">
        <v>6</v>
      </c>
      <c r="E13" s="7" t="s">
        <v>7</v>
      </c>
      <c r="F13" s="7" t="s">
        <v>8</v>
      </c>
      <c r="G13" s="6"/>
    </row>
    <row r="14" spans="1:7" ht="18" customHeight="1" x14ac:dyDescent="0.25">
      <c r="A14" s="8"/>
      <c r="B14" s="8" t="s">
        <v>14</v>
      </c>
      <c r="C14" s="8"/>
      <c r="D14" s="9"/>
      <c r="E14" s="9"/>
      <c r="F14" s="9"/>
    </row>
    <row r="15" spans="1:7" ht="18" customHeight="1" x14ac:dyDescent="0.25">
      <c r="D15" s="5"/>
      <c r="E15" s="5"/>
      <c r="F15" s="5"/>
    </row>
    <row r="16" spans="1:7" ht="30" customHeight="1" x14ac:dyDescent="0.25">
      <c r="A16" s="10">
        <v>1</v>
      </c>
      <c r="B16" s="11" t="s">
        <v>15</v>
      </c>
      <c r="C16" s="10" t="s">
        <v>16</v>
      </c>
      <c r="D16" s="12">
        <v>3</v>
      </c>
      <c r="E16" s="12">
        <v>109</v>
      </c>
      <c r="F16" s="12">
        <f t="shared" ref="F16:F26" si="0">E16*D16</f>
        <v>327</v>
      </c>
    </row>
    <row r="17" spans="1:7" ht="30" customHeight="1" x14ac:dyDescent="0.25">
      <c r="A17" s="10">
        <v>2</v>
      </c>
      <c r="B17" s="11" t="s">
        <v>17</v>
      </c>
      <c r="C17" s="10" t="s">
        <v>18</v>
      </c>
      <c r="D17" s="12">
        <v>3</v>
      </c>
      <c r="E17" s="12">
        <v>130</v>
      </c>
      <c r="F17" s="12">
        <f t="shared" si="0"/>
        <v>390</v>
      </c>
    </row>
    <row r="18" spans="1:7" ht="45" customHeight="1" x14ac:dyDescent="0.25">
      <c r="A18" s="10">
        <v>3</v>
      </c>
      <c r="B18" s="11" t="s">
        <v>19</v>
      </c>
      <c r="C18" s="10" t="s">
        <v>18</v>
      </c>
      <c r="D18" s="12">
        <v>1</v>
      </c>
      <c r="E18" s="12">
        <v>190</v>
      </c>
      <c r="F18" s="12">
        <f t="shared" si="0"/>
        <v>190</v>
      </c>
    </row>
    <row r="19" spans="1:7" ht="30" customHeight="1" x14ac:dyDescent="0.25">
      <c r="A19" s="10">
        <v>4</v>
      </c>
      <c r="B19" s="11" t="s">
        <v>20</v>
      </c>
      <c r="C19" s="10" t="s">
        <v>18</v>
      </c>
      <c r="D19" s="12">
        <v>1</v>
      </c>
      <c r="E19" s="12">
        <v>1100</v>
      </c>
      <c r="F19" s="12">
        <f t="shared" si="0"/>
        <v>1100</v>
      </c>
    </row>
    <row r="20" spans="1:7" ht="45" customHeight="1" x14ac:dyDescent="0.25">
      <c r="A20" s="10">
        <v>5</v>
      </c>
      <c r="B20" s="11" t="s">
        <v>21</v>
      </c>
      <c r="C20" s="10" t="s">
        <v>18</v>
      </c>
      <c r="D20" s="12">
        <v>1</v>
      </c>
      <c r="E20" s="12">
        <v>660</v>
      </c>
      <c r="F20" s="12">
        <f t="shared" si="0"/>
        <v>660</v>
      </c>
    </row>
    <row r="21" spans="1:7" ht="30" customHeight="1" x14ac:dyDescent="0.25">
      <c r="A21" s="10">
        <v>6</v>
      </c>
      <c r="B21" s="11" t="s">
        <v>22</v>
      </c>
      <c r="C21" s="10" t="s">
        <v>18</v>
      </c>
      <c r="D21" s="12">
        <v>1</v>
      </c>
      <c r="E21" s="12">
        <v>270</v>
      </c>
      <c r="F21" s="12">
        <f t="shared" si="0"/>
        <v>270</v>
      </c>
    </row>
    <row r="22" spans="1:7" ht="30" customHeight="1" x14ac:dyDescent="0.25">
      <c r="A22" s="10">
        <v>7</v>
      </c>
      <c r="B22" s="11" t="s">
        <v>23</v>
      </c>
      <c r="C22" s="10" t="s">
        <v>18</v>
      </c>
      <c r="D22" s="12">
        <v>1</v>
      </c>
      <c r="E22" s="12">
        <v>790</v>
      </c>
      <c r="F22" s="12">
        <f t="shared" si="0"/>
        <v>790</v>
      </c>
    </row>
    <row r="23" spans="1:7" ht="30" customHeight="1" x14ac:dyDescent="0.25">
      <c r="A23" s="10">
        <v>8</v>
      </c>
      <c r="B23" s="11" t="s">
        <v>24</v>
      </c>
      <c r="C23" s="10" t="s">
        <v>18</v>
      </c>
      <c r="D23" s="12">
        <v>1</v>
      </c>
      <c r="E23" s="12">
        <v>340</v>
      </c>
      <c r="F23" s="12">
        <f t="shared" si="0"/>
        <v>340</v>
      </c>
    </row>
    <row r="24" spans="1:7" ht="30" customHeight="1" x14ac:dyDescent="0.25">
      <c r="A24" s="10">
        <v>9</v>
      </c>
      <c r="B24" s="11" t="s">
        <v>25</v>
      </c>
      <c r="C24" s="10" t="s">
        <v>18</v>
      </c>
      <c r="D24" s="12">
        <v>1</v>
      </c>
      <c r="E24" s="12">
        <v>87</v>
      </c>
      <c r="F24" s="12">
        <f t="shared" si="0"/>
        <v>87</v>
      </c>
    </row>
    <row r="25" spans="1:7" ht="30" customHeight="1" x14ac:dyDescent="0.25">
      <c r="A25" s="10">
        <v>10</v>
      </c>
      <c r="B25" s="11" t="s">
        <v>26</v>
      </c>
      <c r="C25" s="10" t="s">
        <v>18</v>
      </c>
      <c r="D25" s="12">
        <v>1</v>
      </c>
      <c r="E25" s="12">
        <v>3300</v>
      </c>
      <c r="F25" s="12">
        <f t="shared" si="0"/>
        <v>3300</v>
      </c>
    </row>
    <row r="26" spans="1:7" ht="60" customHeight="1" x14ac:dyDescent="0.25">
      <c r="A26" s="10">
        <v>11</v>
      </c>
      <c r="B26" s="11" t="s">
        <v>27</v>
      </c>
      <c r="C26" s="10" t="s">
        <v>28</v>
      </c>
      <c r="D26" s="12">
        <v>15</v>
      </c>
      <c r="E26" s="12">
        <v>110</v>
      </c>
      <c r="F26" s="12">
        <f t="shared" si="0"/>
        <v>1650</v>
      </c>
    </row>
    <row r="27" spans="1:7" ht="18" customHeight="1" x14ac:dyDescent="0.25">
      <c r="A27" s="13"/>
      <c r="B27" s="14" t="s">
        <v>29</v>
      </c>
      <c r="C27" s="13"/>
      <c r="D27" s="15"/>
      <c r="E27" s="15"/>
      <c r="F27" s="15">
        <f>SUM(F16:F26)</f>
        <v>9104</v>
      </c>
    </row>
    <row r="28" spans="1:7" ht="18" customHeight="1" x14ac:dyDescent="0.25">
      <c r="D28" s="5"/>
      <c r="E28" s="5"/>
      <c r="F28" s="5"/>
    </row>
    <row r="29" spans="1:7" ht="18" customHeight="1" x14ac:dyDescent="0.25">
      <c r="D29" s="5"/>
      <c r="E29" s="5"/>
      <c r="F29" s="5"/>
    </row>
    <row r="30" spans="1:7" ht="18" customHeight="1" x14ac:dyDescent="0.25">
      <c r="A30" s="6" t="s">
        <v>3</v>
      </c>
      <c r="B30" s="6" t="s">
        <v>4</v>
      </c>
      <c r="C30" s="6" t="s">
        <v>5</v>
      </c>
      <c r="D30" s="7" t="s">
        <v>6</v>
      </c>
      <c r="E30" s="7" t="s">
        <v>7</v>
      </c>
      <c r="F30" s="7" t="s">
        <v>8</v>
      </c>
      <c r="G30" s="6"/>
    </row>
    <row r="31" spans="1:7" ht="18" customHeight="1" x14ac:dyDescent="0.25">
      <c r="A31" s="8"/>
      <c r="B31" s="8" t="s">
        <v>30</v>
      </c>
      <c r="C31" s="8"/>
      <c r="D31" s="9"/>
      <c r="E31" s="9"/>
      <c r="F31" s="9"/>
    </row>
    <row r="32" spans="1:7" ht="18" customHeight="1" x14ac:dyDescent="0.25">
      <c r="D32" s="5"/>
      <c r="E32" s="5"/>
      <c r="F32" s="5"/>
    </row>
    <row r="33" spans="1:6" ht="30" customHeight="1" x14ac:dyDescent="0.25">
      <c r="A33" s="10">
        <v>1</v>
      </c>
      <c r="B33" s="11" t="s">
        <v>31</v>
      </c>
      <c r="C33" s="10" t="s">
        <v>28</v>
      </c>
      <c r="D33" s="12">
        <v>45</v>
      </c>
      <c r="E33" s="12">
        <v>160</v>
      </c>
      <c r="F33" s="12">
        <f t="shared" ref="F33:F46" si="1">E33*D33</f>
        <v>7200</v>
      </c>
    </row>
    <row r="34" spans="1:6" ht="30" customHeight="1" x14ac:dyDescent="0.25">
      <c r="A34" s="10">
        <v>2</v>
      </c>
      <c r="B34" s="11" t="s">
        <v>32</v>
      </c>
      <c r="C34" s="10" t="s">
        <v>33</v>
      </c>
      <c r="D34" s="12">
        <v>10</v>
      </c>
      <c r="E34" s="12">
        <v>360</v>
      </c>
      <c r="F34" s="12">
        <f t="shared" si="1"/>
        <v>3600</v>
      </c>
    </row>
    <row r="35" spans="1:6" ht="30" customHeight="1" x14ac:dyDescent="0.25">
      <c r="A35" s="10">
        <v>3</v>
      </c>
      <c r="B35" s="11" t="s">
        <v>34</v>
      </c>
      <c r="C35" s="10" t="s">
        <v>33</v>
      </c>
      <c r="D35" s="12">
        <v>4</v>
      </c>
      <c r="E35" s="12">
        <v>210</v>
      </c>
      <c r="F35" s="12">
        <f t="shared" si="1"/>
        <v>840</v>
      </c>
    </row>
    <row r="36" spans="1:6" ht="18" customHeight="1" x14ac:dyDescent="0.25">
      <c r="A36" s="10">
        <v>4</v>
      </c>
      <c r="B36" s="11" t="s">
        <v>35</v>
      </c>
      <c r="C36" s="10" t="s">
        <v>33</v>
      </c>
      <c r="D36" s="12">
        <v>6</v>
      </c>
      <c r="E36" s="12">
        <v>160</v>
      </c>
      <c r="F36" s="12">
        <f t="shared" si="1"/>
        <v>960</v>
      </c>
    </row>
    <row r="37" spans="1:6" ht="18" customHeight="1" x14ac:dyDescent="0.25">
      <c r="A37" s="10">
        <v>5</v>
      </c>
      <c r="B37" s="11" t="s">
        <v>36</v>
      </c>
      <c r="C37" s="10" t="s">
        <v>28</v>
      </c>
      <c r="D37" s="12">
        <v>8</v>
      </c>
      <c r="E37" s="12">
        <v>290</v>
      </c>
      <c r="F37" s="12">
        <f t="shared" si="1"/>
        <v>2320</v>
      </c>
    </row>
    <row r="38" spans="1:6" ht="18" customHeight="1" x14ac:dyDescent="0.25">
      <c r="A38" s="10">
        <v>6</v>
      </c>
      <c r="B38" s="11" t="s">
        <v>37</v>
      </c>
      <c r="C38" s="10" t="s">
        <v>18</v>
      </c>
      <c r="D38" s="12">
        <v>1</v>
      </c>
      <c r="E38" s="12">
        <v>2800</v>
      </c>
      <c r="F38" s="12">
        <f t="shared" si="1"/>
        <v>2800</v>
      </c>
    </row>
    <row r="39" spans="1:6" ht="18" customHeight="1" x14ac:dyDescent="0.25">
      <c r="A39" s="10">
        <v>7</v>
      </c>
      <c r="B39" s="11" t="s">
        <v>38</v>
      </c>
      <c r="C39" s="10" t="s">
        <v>18</v>
      </c>
      <c r="D39" s="12">
        <v>1</v>
      </c>
      <c r="E39" s="12">
        <v>2200</v>
      </c>
      <c r="F39" s="12">
        <f t="shared" si="1"/>
        <v>2200</v>
      </c>
    </row>
    <row r="40" spans="1:6" ht="18" customHeight="1" x14ac:dyDescent="0.25">
      <c r="A40" s="10">
        <v>8</v>
      </c>
      <c r="B40" s="11" t="s">
        <v>39</v>
      </c>
      <c r="C40" s="10" t="s">
        <v>18</v>
      </c>
      <c r="D40" s="12">
        <v>1</v>
      </c>
      <c r="E40" s="12">
        <v>1800</v>
      </c>
      <c r="F40" s="12">
        <f t="shared" si="1"/>
        <v>1800</v>
      </c>
    </row>
    <row r="41" spans="1:6" ht="30" customHeight="1" x14ac:dyDescent="0.25">
      <c r="A41" s="10">
        <v>9</v>
      </c>
      <c r="B41" s="11" t="s">
        <v>40</v>
      </c>
      <c r="C41" s="10" t="s">
        <v>28</v>
      </c>
      <c r="D41" s="12">
        <v>20</v>
      </c>
      <c r="E41" s="12">
        <v>95</v>
      </c>
      <c r="F41" s="12">
        <f t="shared" si="1"/>
        <v>1900</v>
      </c>
    </row>
    <row r="42" spans="1:6" ht="30" customHeight="1" x14ac:dyDescent="0.25">
      <c r="A42" s="10">
        <v>10</v>
      </c>
      <c r="B42" s="11" t="s">
        <v>41</v>
      </c>
      <c r="C42" s="10" t="s">
        <v>28</v>
      </c>
      <c r="D42" s="12">
        <v>20</v>
      </c>
      <c r="E42" s="12">
        <v>245</v>
      </c>
      <c r="F42" s="12">
        <f t="shared" si="1"/>
        <v>4900</v>
      </c>
    </row>
    <row r="43" spans="1:6" ht="18" customHeight="1" x14ac:dyDescent="0.25">
      <c r="A43" s="10">
        <v>11</v>
      </c>
      <c r="B43" s="11" t="s">
        <v>42</v>
      </c>
      <c r="C43" s="10" t="s">
        <v>28</v>
      </c>
      <c r="D43" s="12">
        <v>20</v>
      </c>
      <c r="E43" s="12">
        <v>270</v>
      </c>
      <c r="F43" s="12">
        <f t="shared" si="1"/>
        <v>5400</v>
      </c>
    </row>
    <row r="44" spans="1:6" ht="18" customHeight="1" x14ac:dyDescent="0.25">
      <c r="A44" s="10">
        <v>12</v>
      </c>
      <c r="B44" s="11" t="s">
        <v>43</v>
      </c>
      <c r="C44" s="10" t="s">
        <v>28</v>
      </c>
      <c r="D44" s="12">
        <v>8</v>
      </c>
      <c r="E44" s="12">
        <v>267</v>
      </c>
      <c r="F44" s="12">
        <f t="shared" si="1"/>
        <v>2136</v>
      </c>
    </row>
    <row r="45" spans="1:6" ht="30" customHeight="1" x14ac:dyDescent="0.25">
      <c r="A45" s="10">
        <v>13</v>
      </c>
      <c r="B45" s="11" t="s">
        <v>44</v>
      </c>
      <c r="C45" s="10" t="s">
        <v>28</v>
      </c>
      <c r="D45" s="12">
        <v>20</v>
      </c>
      <c r="E45" s="12">
        <v>96</v>
      </c>
      <c r="F45" s="12">
        <f t="shared" si="1"/>
        <v>1920</v>
      </c>
    </row>
    <row r="46" spans="1:6" ht="18" customHeight="1" x14ac:dyDescent="0.25">
      <c r="A46" s="10">
        <v>14</v>
      </c>
      <c r="B46" s="11" t="s">
        <v>45</v>
      </c>
      <c r="C46" s="10" t="s">
        <v>28</v>
      </c>
      <c r="D46" s="12">
        <v>20</v>
      </c>
      <c r="E46" s="12">
        <v>76</v>
      </c>
      <c r="F46" s="12">
        <f t="shared" si="1"/>
        <v>1520</v>
      </c>
    </row>
    <row r="47" spans="1:6" ht="18" customHeight="1" x14ac:dyDescent="0.25">
      <c r="A47" s="13"/>
      <c r="B47" s="14" t="s">
        <v>46</v>
      </c>
      <c r="C47" s="13"/>
      <c r="D47" s="15"/>
      <c r="E47" s="15"/>
      <c r="F47" s="15">
        <f>SUM(F33:F46)</f>
        <v>39496</v>
      </c>
    </row>
    <row r="48" spans="1:6" ht="18" customHeight="1" x14ac:dyDescent="0.25">
      <c r="D48" s="5"/>
      <c r="E48" s="5"/>
      <c r="F48" s="5"/>
    </row>
    <row r="49" spans="1:7" ht="18" customHeight="1" x14ac:dyDescent="0.25">
      <c r="D49" s="5"/>
      <c r="E49" s="5"/>
      <c r="F49" s="5"/>
    </row>
    <row r="50" spans="1:7" ht="18" customHeight="1" x14ac:dyDescent="0.25">
      <c r="A50" s="6" t="s">
        <v>3</v>
      </c>
      <c r="B50" s="6" t="s">
        <v>4</v>
      </c>
      <c r="C50" s="6" t="s">
        <v>5</v>
      </c>
      <c r="D50" s="7" t="s">
        <v>6</v>
      </c>
      <c r="E50" s="7" t="s">
        <v>7</v>
      </c>
      <c r="F50" s="7" t="s">
        <v>8</v>
      </c>
      <c r="G50" s="6"/>
    </row>
    <row r="51" spans="1:7" ht="18" customHeight="1" x14ac:dyDescent="0.25">
      <c r="A51" s="8"/>
      <c r="B51" s="8" t="s">
        <v>47</v>
      </c>
      <c r="C51" s="8"/>
      <c r="D51" s="9"/>
      <c r="E51" s="9"/>
      <c r="F51" s="9"/>
    </row>
    <row r="52" spans="1:7" ht="18" customHeight="1" x14ac:dyDescent="0.25">
      <c r="D52" s="5"/>
      <c r="E52" s="5"/>
      <c r="F52" s="5"/>
    </row>
    <row r="53" spans="1:7" ht="18" customHeight="1" x14ac:dyDescent="0.25">
      <c r="A53" s="10">
        <v>1</v>
      </c>
      <c r="B53" s="11" t="s">
        <v>48</v>
      </c>
      <c r="C53" s="10" t="s">
        <v>28</v>
      </c>
      <c r="D53" s="12">
        <v>20</v>
      </c>
      <c r="E53" s="12">
        <v>1200</v>
      </c>
      <c r="F53" s="12">
        <f t="shared" ref="F53:F58" si="2">E53*D53</f>
        <v>24000</v>
      </c>
    </row>
    <row r="54" spans="1:7" ht="18" customHeight="1" x14ac:dyDescent="0.25">
      <c r="A54" s="10">
        <v>2</v>
      </c>
      <c r="B54" s="11" t="s">
        <v>49</v>
      </c>
      <c r="C54" s="10" t="s">
        <v>33</v>
      </c>
      <c r="D54" s="12">
        <v>2</v>
      </c>
      <c r="E54" s="12">
        <v>3300</v>
      </c>
      <c r="F54" s="12">
        <f t="shared" si="2"/>
        <v>6600</v>
      </c>
    </row>
    <row r="55" spans="1:7" ht="18" customHeight="1" x14ac:dyDescent="0.25">
      <c r="A55" s="10">
        <v>3</v>
      </c>
      <c r="B55" s="11" t="s">
        <v>50</v>
      </c>
      <c r="C55" s="10" t="s">
        <v>33</v>
      </c>
      <c r="D55" s="12">
        <v>1</v>
      </c>
      <c r="E55" s="12">
        <v>3550</v>
      </c>
      <c r="F55" s="12">
        <f t="shared" si="2"/>
        <v>3550</v>
      </c>
    </row>
    <row r="56" spans="1:7" ht="18" customHeight="1" x14ac:dyDescent="0.25">
      <c r="A56" s="10">
        <v>4</v>
      </c>
      <c r="B56" s="11" t="s">
        <v>51</v>
      </c>
      <c r="C56" s="10" t="s">
        <v>52</v>
      </c>
      <c r="D56" s="12">
        <v>30</v>
      </c>
      <c r="E56" s="12">
        <v>360</v>
      </c>
      <c r="F56" s="12">
        <f t="shared" si="2"/>
        <v>10800</v>
      </c>
    </row>
    <row r="57" spans="1:7" ht="18" customHeight="1" x14ac:dyDescent="0.25">
      <c r="A57" s="10">
        <v>5</v>
      </c>
      <c r="B57" s="11" t="s">
        <v>53</v>
      </c>
      <c r="C57" s="10" t="s">
        <v>54</v>
      </c>
      <c r="D57" s="12">
        <v>20</v>
      </c>
      <c r="E57" s="12">
        <v>88</v>
      </c>
      <c r="F57" s="12">
        <f t="shared" si="2"/>
        <v>1760</v>
      </c>
    </row>
    <row r="58" spans="1:7" ht="18" customHeight="1" x14ac:dyDescent="0.25">
      <c r="A58" s="10">
        <v>6</v>
      </c>
      <c r="B58" s="11" t="s">
        <v>55</v>
      </c>
      <c r="C58" s="10" t="s">
        <v>54</v>
      </c>
      <c r="D58" s="12">
        <v>50</v>
      </c>
      <c r="E58" s="12">
        <v>102</v>
      </c>
      <c r="F58" s="12">
        <f t="shared" si="2"/>
        <v>5100</v>
      </c>
    </row>
    <row r="59" spans="1:7" ht="18" customHeight="1" x14ac:dyDescent="0.25">
      <c r="A59" s="13"/>
      <c r="B59" s="14" t="s">
        <v>56</v>
      </c>
      <c r="C59" s="13"/>
      <c r="D59" s="15"/>
      <c r="E59" s="15"/>
      <c r="F59" s="15">
        <f>SUM(F53:F58)</f>
        <v>51810</v>
      </c>
    </row>
    <row r="60" spans="1:7" ht="18" customHeight="1" x14ac:dyDescent="0.25">
      <c r="D60" s="5"/>
      <c r="E60" s="5"/>
      <c r="F60" s="5"/>
    </row>
    <row r="61" spans="1:7" ht="18" customHeight="1" x14ac:dyDescent="0.25">
      <c r="D61" s="5"/>
      <c r="E61" s="5"/>
      <c r="F61" s="5"/>
    </row>
    <row r="62" spans="1:7" ht="18" customHeight="1" x14ac:dyDescent="0.25">
      <c r="A62" s="6" t="s">
        <v>3</v>
      </c>
      <c r="B62" s="6" t="s">
        <v>4</v>
      </c>
      <c r="C62" s="6" t="s">
        <v>5</v>
      </c>
      <c r="D62" s="7" t="s">
        <v>6</v>
      </c>
      <c r="E62" s="7" t="s">
        <v>7</v>
      </c>
      <c r="F62" s="7" t="s">
        <v>8</v>
      </c>
      <c r="G62" s="6"/>
    </row>
    <row r="63" spans="1:7" ht="18" customHeight="1" x14ac:dyDescent="0.25">
      <c r="A63" s="8"/>
      <c r="B63" s="8" t="s">
        <v>57</v>
      </c>
      <c r="C63" s="8"/>
      <c r="D63" s="9"/>
      <c r="E63" s="9"/>
      <c r="F63" s="9"/>
    </row>
    <row r="64" spans="1:7" ht="18" customHeight="1" x14ac:dyDescent="0.25">
      <c r="D64" s="5"/>
      <c r="E64" s="5"/>
      <c r="F64" s="5"/>
    </row>
    <row r="65" spans="1:7" ht="45" customHeight="1" x14ac:dyDescent="0.25">
      <c r="A65" s="10">
        <v>1</v>
      </c>
      <c r="B65" s="11" t="s">
        <v>58</v>
      </c>
      <c r="C65" s="10" t="s">
        <v>28</v>
      </c>
      <c r="D65" s="12">
        <v>20</v>
      </c>
      <c r="E65" s="12">
        <v>145</v>
      </c>
      <c r="F65" s="12">
        <f>E65*D65</f>
        <v>2900</v>
      </c>
    </row>
    <row r="66" spans="1:7" ht="18" customHeight="1" x14ac:dyDescent="0.25">
      <c r="A66" s="10">
        <v>2</v>
      </c>
      <c r="B66" s="11" t="s">
        <v>59</v>
      </c>
      <c r="C66" s="10" t="s">
        <v>52</v>
      </c>
      <c r="D66" s="12">
        <v>14</v>
      </c>
      <c r="E66" s="12">
        <v>160</v>
      </c>
      <c r="F66" s="12">
        <f>E66*D66</f>
        <v>2240</v>
      </c>
    </row>
    <row r="67" spans="1:7" ht="18" customHeight="1" x14ac:dyDescent="0.25">
      <c r="A67" s="10">
        <v>3</v>
      </c>
      <c r="B67" s="11" t="s">
        <v>60</v>
      </c>
      <c r="C67" s="10" t="s">
        <v>28</v>
      </c>
      <c r="D67" s="12">
        <v>12</v>
      </c>
      <c r="E67" s="12">
        <v>170</v>
      </c>
      <c r="F67" s="12">
        <f>E67*D67</f>
        <v>2040</v>
      </c>
    </row>
    <row r="68" spans="1:7" ht="18" customHeight="1" x14ac:dyDescent="0.25">
      <c r="A68" s="10">
        <v>4</v>
      </c>
      <c r="B68" s="11" t="s">
        <v>61</v>
      </c>
      <c r="C68" s="10" t="s">
        <v>52</v>
      </c>
      <c r="D68" s="12">
        <v>24</v>
      </c>
      <c r="E68" s="12">
        <v>99</v>
      </c>
      <c r="F68" s="12">
        <f>E68*D68</f>
        <v>2376</v>
      </c>
    </row>
    <row r="69" spans="1:7" ht="18" customHeight="1" x14ac:dyDescent="0.25">
      <c r="A69" s="10">
        <v>5</v>
      </c>
      <c r="B69" s="11" t="s">
        <v>62</v>
      </c>
      <c r="C69" s="10" t="s">
        <v>28</v>
      </c>
      <c r="D69" s="12">
        <v>12</v>
      </c>
      <c r="E69" s="12">
        <v>270</v>
      </c>
      <c r="F69" s="12">
        <f>E69*D69</f>
        <v>3240</v>
      </c>
    </row>
    <row r="70" spans="1:7" ht="18" customHeight="1" x14ac:dyDescent="0.25">
      <c r="A70" s="13"/>
      <c r="B70" s="14" t="s">
        <v>63</v>
      </c>
      <c r="C70" s="13"/>
      <c r="D70" s="15"/>
      <c r="E70" s="15"/>
      <c r="F70" s="15">
        <f>SUM(F65:F69)</f>
        <v>12796</v>
      </c>
    </row>
    <row r="71" spans="1:7" ht="18" customHeight="1" x14ac:dyDescent="0.25">
      <c r="D71" s="5"/>
      <c r="E71" s="5"/>
      <c r="F71" s="5"/>
    </row>
    <row r="72" spans="1:7" ht="18" customHeight="1" x14ac:dyDescent="0.25">
      <c r="D72" s="5"/>
      <c r="E72" s="5"/>
      <c r="F72" s="5"/>
    </row>
    <row r="73" spans="1:7" ht="18" customHeight="1" x14ac:dyDescent="0.25">
      <c r="A73" s="6" t="s">
        <v>3</v>
      </c>
      <c r="B73" s="6" t="s">
        <v>4</v>
      </c>
      <c r="C73" s="6" t="s">
        <v>5</v>
      </c>
      <c r="D73" s="7" t="s">
        <v>6</v>
      </c>
      <c r="E73" s="7" t="s">
        <v>7</v>
      </c>
      <c r="F73" s="7" t="s">
        <v>8</v>
      </c>
      <c r="G73" s="6"/>
    </row>
    <row r="74" spans="1:7" ht="18" customHeight="1" x14ac:dyDescent="0.25">
      <c r="A74" s="8"/>
      <c r="B74" s="8" t="s">
        <v>64</v>
      </c>
      <c r="C74" s="8"/>
      <c r="D74" s="9"/>
      <c r="E74" s="9"/>
      <c r="F74" s="9"/>
    </row>
    <row r="75" spans="1:7" ht="18" customHeight="1" x14ac:dyDescent="0.25">
      <c r="D75" s="5"/>
      <c r="E75" s="5"/>
      <c r="F75" s="5"/>
    </row>
    <row r="76" spans="1:7" ht="18" customHeight="1" x14ac:dyDescent="0.25">
      <c r="A76" s="10">
        <v>1</v>
      </c>
      <c r="B76" s="11" t="s">
        <v>65</v>
      </c>
      <c r="C76" s="10" t="s">
        <v>28</v>
      </c>
      <c r="D76" s="12">
        <v>31</v>
      </c>
      <c r="E76" s="12">
        <v>115</v>
      </c>
      <c r="F76" s="12">
        <f>E76*D76</f>
        <v>3565</v>
      </c>
    </row>
    <row r="77" spans="1:7" ht="18" customHeight="1" x14ac:dyDescent="0.25">
      <c r="A77" s="13"/>
      <c r="B77" s="14" t="s">
        <v>66</v>
      </c>
      <c r="C77" s="13"/>
      <c r="D77" s="15"/>
      <c r="E77" s="15"/>
      <c r="F77" s="15">
        <f>SUM(F76:F76)</f>
        <v>3565</v>
      </c>
    </row>
    <row r="78" spans="1:7" ht="18" customHeight="1" x14ac:dyDescent="0.25">
      <c r="D78" s="5"/>
      <c r="E78" s="5"/>
      <c r="F78" s="5"/>
    </row>
    <row r="79" spans="1:7" ht="18" customHeight="1" x14ac:dyDescent="0.25">
      <c r="D79" s="5"/>
      <c r="E79" s="5"/>
      <c r="F79" s="5"/>
    </row>
    <row r="80" spans="1:7" ht="18" customHeight="1" x14ac:dyDescent="0.25">
      <c r="A80" s="6" t="s">
        <v>3</v>
      </c>
      <c r="B80" s="6" t="s">
        <v>4</v>
      </c>
      <c r="C80" s="6" t="s">
        <v>5</v>
      </c>
      <c r="D80" s="7" t="s">
        <v>6</v>
      </c>
      <c r="E80" s="7" t="s">
        <v>7</v>
      </c>
      <c r="F80" s="7" t="s">
        <v>8</v>
      </c>
      <c r="G80" s="6"/>
    </row>
    <row r="81" spans="1:7" ht="18" customHeight="1" x14ac:dyDescent="0.25">
      <c r="A81" s="8"/>
      <c r="B81" s="8" t="s">
        <v>67</v>
      </c>
      <c r="C81" s="8"/>
      <c r="D81" s="9"/>
      <c r="E81" s="9"/>
      <c r="F81" s="9"/>
    </row>
    <row r="82" spans="1:7" ht="18" customHeight="1" x14ac:dyDescent="0.25">
      <c r="D82" s="5"/>
      <c r="E82" s="5"/>
      <c r="F82" s="5"/>
    </row>
    <row r="83" spans="1:7" ht="18" customHeight="1" x14ac:dyDescent="0.25">
      <c r="A83" s="10">
        <v>1</v>
      </c>
      <c r="B83" s="11" t="s">
        <v>68</v>
      </c>
      <c r="C83" s="10" t="s">
        <v>28</v>
      </c>
      <c r="D83" s="12">
        <v>44</v>
      </c>
      <c r="E83" s="12">
        <v>145</v>
      </c>
      <c r="F83" s="12">
        <f>E83*D83</f>
        <v>6380</v>
      </c>
    </row>
    <row r="84" spans="1:7" ht="18" customHeight="1" x14ac:dyDescent="0.25">
      <c r="A84" s="10">
        <v>2</v>
      </c>
      <c r="B84" s="11" t="s">
        <v>69</v>
      </c>
      <c r="C84" s="10" t="s">
        <v>52</v>
      </c>
      <c r="D84" s="12">
        <v>12</v>
      </c>
      <c r="E84" s="12">
        <v>160</v>
      </c>
      <c r="F84" s="12">
        <f>E84*D84</f>
        <v>1920</v>
      </c>
    </row>
    <row r="85" spans="1:7" ht="18" customHeight="1" x14ac:dyDescent="0.25">
      <c r="A85" s="10">
        <v>3</v>
      </c>
      <c r="B85" s="11" t="s">
        <v>70</v>
      </c>
      <c r="C85" s="10" t="s">
        <v>52</v>
      </c>
      <c r="D85" s="12">
        <v>80</v>
      </c>
      <c r="E85" s="12">
        <v>80</v>
      </c>
      <c r="F85" s="12">
        <f>E85*D85</f>
        <v>6400</v>
      </c>
    </row>
    <row r="86" spans="1:7" ht="18" customHeight="1" x14ac:dyDescent="0.25">
      <c r="A86" s="10">
        <v>4</v>
      </c>
      <c r="B86" s="11" t="s">
        <v>71</v>
      </c>
      <c r="C86" s="10" t="s">
        <v>52</v>
      </c>
      <c r="D86" s="12">
        <v>13</v>
      </c>
      <c r="E86" s="12">
        <v>85</v>
      </c>
      <c r="F86" s="12">
        <f>E86*D86</f>
        <v>1105</v>
      </c>
    </row>
    <row r="87" spans="1:7" ht="45" customHeight="1" x14ac:dyDescent="0.25">
      <c r="A87" s="10">
        <v>5</v>
      </c>
      <c r="B87" s="11" t="s">
        <v>72</v>
      </c>
      <c r="C87" s="10" t="s">
        <v>16</v>
      </c>
      <c r="D87" s="12">
        <v>12</v>
      </c>
      <c r="E87" s="12">
        <v>320</v>
      </c>
      <c r="F87" s="12">
        <f>E87*D87</f>
        <v>3840</v>
      </c>
    </row>
    <row r="88" spans="1:7" ht="18" customHeight="1" x14ac:dyDescent="0.25">
      <c r="A88" s="13"/>
      <c r="B88" s="14" t="s">
        <v>73</v>
      </c>
      <c r="C88" s="13"/>
      <c r="D88" s="15"/>
      <c r="E88" s="15"/>
      <c r="F88" s="15">
        <f>SUM(F83:F87)</f>
        <v>19645</v>
      </c>
    </row>
    <row r="89" spans="1:7" ht="18" customHeight="1" x14ac:dyDescent="0.25">
      <c r="D89" s="5"/>
      <c r="E89" s="5"/>
      <c r="F89" s="5"/>
    </row>
    <row r="90" spans="1:7" ht="18" customHeight="1" x14ac:dyDescent="0.25">
      <c r="D90" s="5"/>
      <c r="E90" s="5"/>
      <c r="F90" s="5"/>
    </row>
    <row r="91" spans="1:7" ht="18" customHeight="1" x14ac:dyDescent="0.25">
      <c r="A91" s="6" t="s">
        <v>3</v>
      </c>
      <c r="B91" s="6" t="s">
        <v>4</v>
      </c>
      <c r="C91" s="6" t="s">
        <v>5</v>
      </c>
      <c r="D91" s="7" t="s">
        <v>6</v>
      </c>
      <c r="E91" s="7" t="s">
        <v>7</v>
      </c>
      <c r="F91" s="7" t="s">
        <v>8</v>
      </c>
      <c r="G91" s="6"/>
    </row>
    <row r="92" spans="1:7" ht="18" customHeight="1" x14ac:dyDescent="0.25">
      <c r="A92" s="8"/>
      <c r="B92" s="8" t="s">
        <v>74</v>
      </c>
      <c r="C92" s="8"/>
      <c r="D92" s="9"/>
      <c r="E92" s="9"/>
      <c r="F92" s="9"/>
    </row>
    <row r="93" spans="1:7" ht="18" customHeight="1" x14ac:dyDescent="0.25">
      <c r="D93" s="5"/>
      <c r="E93" s="5"/>
      <c r="F93" s="5"/>
    </row>
    <row r="94" spans="1:7" ht="18" customHeight="1" x14ac:dyDescent="0.25">
      <c r="A94" s="10">
        <v>1</v>
      </c>
      <c r="B94" s="11" t="s">
        <v>75</v>
      </c>
      <c r="C94" s="10" t="s">
        <v>28</v>
      </c>
      <c r="D94" s="12">
        <v>30</v>
      </c>
      <c r="E94" s="12">
        <v>395</v>
      </c>
      <c r="F94" s="12">
        <f>E94*D94</f>
        <v>11850</v>
      </c>
    </row>
    <row r="95" spans="1:7" ht="18" customHeight="1" x14ac:dyDescent="0.25">
      <c r="A95" s="10">
        <v>2</v>
      </c>
      <c r="B95" s="11" t="s">
        <v>76</v>
      </c>
      <c r="C95" s="10" t="s">
        <v>52</v>
      </c>
      <c r="D95" s="12">
        <v>3.5</v>
      </c>
      <c r="E95" s="12">
        <v>190</v>
      </c>
      <c r="F95" s="12">
        <f>E95*D95</f>
        <v>665</v>
      </c>
    </row>
    <row r="96" spans="1:7" ht="18" customHeight="1" x14ac:dyDescent="0.25">
      <c r="A96" s="13"/>
      <c r="B96" s="14" t="s">
        <v>77</v>
      </c>
      <c r="C96" s="13"/>
      <c r="D96" s="15"/>
      <c r="E96" s="15"/>
      <c r="F96" s="15">
        <f>SUM(F94:F95)</f>
        <v>12515</v>
      </c>
    </row>
    <row r="97" spans="1:7" ht="18" customHeight="1" x14ac:dyDescent="0.25">
      <c r="D97" s="5"/>
      <c r="E97" s="5"/>
      <c r="F97" s="5"/>
    </row>
    <row r="98" spans="1:7" ht="18" customHeight="1" x14ac:dyDescent="0.25">
      <c r="D98" s="5"/>
      <c r="E98" s="5"/>
      <c r="F98" s="5"/>
    </row>
    <row r="99" spans="1:7" ht="18" customHeight="1" x14ac:dyDescent="0.25">
      <c r="A99" s="6" t="s">
        <v>3</v>
      </c>
      <c r="B99" s="6" t="s">
        <v>4</v>
      </c>
      <c r="C99" s="6" t="s">
        <v>5</v>
      </c>
      <c r="D99" s="7" t="s">
        <v>6</v>
      </c>
      <c r="E99" s="7" t="s">
        <v>7</v>
      </c>
      <c r="F99" s="7" t="s">
        <v>8</v>
      </c>
      <c r="G99" s="6"/>
    </row>
    <row r="100" spans="1:7" ht="18" customHeight="1" x14ac:dyDescent="0.25">
      <c r="A100" s="8"/>
      <c r="B100" s="8" t="s">
        <v>78</v>
      </c>
      <c r="C100" s="8"/>
      <c r="D100" s="9"/>
      <c r="E100" s="9"/>
      <c r="F100" s="9"/>
    </row>
    <row r="101" spans="1:7" ht="18" customHeight="1" x14ac:dyDescent="0.25">
      <c r="D101" s="5"/>
      <c r="E101" s="5"/>
      <c r="F101" s="5"/>
    </row>
    <row r="102" spans="1:7" ht="45" customHeight="1" x14ac:dyDescent="0.25">
      <c r="A102" s="10">
        <v>1</v>
      </c>
      <c r="B102" s="11" t="s">
        <v>79</v>
      </c>
      <c r="C102" s="10" t="s">
        <v>28</v>
      </c>
      <c r="D102" s="12">
        <v>115</v>
      </c>
      <c r="E102" s="12">
        <v>300</v>
      </c>
      <c r="F102" s="12">
        <f t="shared" ref="F102:F116" si="3">E102*D102</f>
        <v>34500</v>
      </c>
    </row>
    <row r="103" spans="1:7" ht="30" customHeight="1" x14ac:dyDescent="0.25">
      <c r="A103" s="10">
        <v>2</v>
      </c>
      <c r="B103" s="11" t="s">
        <v>80</v>
      </c>
      <c r="C103" s="10" t="s">
        <v>16</v>
      </c>
      <c r="D103" s="12">
        <v>3</v>
      </c>
      <c r="E103" s="12">
        <v>3200</v>
      </c>
      <c r="F103" s="12">
        <f t="shared" si="3"/>
        <v>9600</v>
      </c>
    </row>
    <row r="104" spans="1:7" ht="18" customHeight="1" x14ac:dyDescent="0.25">
      <c r="A104" s="10">
        <v>3</v>
      </c>
      <c r="B104" s="11" t="s">
        <v>81</v>
      </c>
      <c r="C104" s="10" t="s">
        <v>52</v>
      </c>
      <c r="D104" s="12">
        <v>56</v>
      </c>
      <c r="E104" s="12">
        <v>150</v>
      </c>
      <c r="F104" s="12">
        <f t="shared" si="3"/>
        <v>8400</v>
      </c>
    </row>
    <row r="105" spans="1:7" ht="18" customHeight="1" x14ac:dyDescent="0.25">
      <c r="A105" s="10">
        <v>4</v>
      </c>
      <c r="B105" s="11" t="s">
        <v>82</v>
      </c>
      <c r="C105" s="10" t="s">
        <v>52</v>
      </c>
      <c r="D105" s="12">
        <v>120</v>
      </c>
      <c r="E105" s="12">
        <v>145</v>
      </c>
      <c r="F105" s="12">
        <f t="shared" si="3"/>
        <v>17400</v>
      </c>
    </row>
    <row r="106" spans="1:7" ht="18" customHeight="1" x14ac:dyDescent="0.25">
      <c r="A106" s="10">
        <v>5</v>
      </c>
      <c r="B106" s="11" t="s">
        <v>83</v>
      </c>
      <c r="C106" s="10" t="s">
        <v>52</v>
      </c>
      <c r="D106" s="12">
        <v>5</v>
      </c>
      <c r="E106" s="12">
        <v>130</v>
      </c>
      <c r="F106" s="12">
        <f t="shared" si="3"/>
        <v>650</v>
      </c>
    </row>
    <row r="107" spans="1:7" ht="18" customHeight="1" x14ac:dyDescent="0.25">
      <c r="A107" s="10">
        <v>6</v>
      </c>
      <c r="B107" s="11" t="s">
        <v>84</v>
      </c>
      <c r="C107" s="10" t="s">
        <v>52</v>
      </c>
      <c r="D107" s="12">
        <v>40</v>
      </c>
      <c r="E107" s="12">
        <v>135</v>
      </c>
      <c r="F107" s="12">
        <f t="shared" si="3"/>
        <v>5400</v>
      </c>
    </row>
    <row r="108" spans="1:7" ht="18" customHeight="1" x14ac:dyDescent="0.25">
      <c r="A108" s="10">
        <v>7</v>
      </c>
      <c r="B108" s="11" t="s">
        <v>85</v>
      </c>
      <c r="C108" s="10" t="s">
        <v>52</v>
      </c>
      <c r="D108" s="12">
        <v>80</v>
      </c>
      <c r="E108" s="12">
        <v>80</v>
      </c>
      <c r="F108" s="12">
        <f t="shared" si="3"/>
        <v>6400</v>
      </c>
    </row>
    <row r="109" spans="1:7" ht="30" customHeight="1" x14ac:dyDescent="0.25">
      <c r="A109" s="10">
        <v>8</v>
      </c>
      <c r="B109" s="11" t="s">
        <v>86</v>
      </c>
      <c r="C109" s="10" t="s">
        <v>16</v>
      </c>
      <c r="D109" s="12">
        <v>3</v>
      </c>
      <c r="E109" s="12">
        <v>780</v>
      </c>
      <c r="F109" s="12">
        <f t="shared" si="3"/>
        <v>2340</v>
      </c>
    </row>
    <row r="110" spans="1:7" ht="72" customHeight="1" x14ac:dyDescent="0.25">
      <c r="A110" s="10">
        <v>9</v>
      </c>
      <c r="B110" s="11" t="s">
        <v>87</v>
      </c>
      <c r="C110" s="10" t="s">
        <v>18</v>
      </c>
      <c r="D110" s="12">
        <v>1</v>
      </c>
      <c r="E110" s="12">
        <v>18500</v>
      </c>
      <c r="F110" s="12">
        <f t="shared" si="3"/>
        <v>18500</v>
      </c>
    </row>
    <row r="111" spans="1:7" ht="72" customHeight="1" x14ac:dyDescent="0.25">
      <c r="A111" s="10">
        <v>10</v>
      </c>
      <c r="B111" s="11" t="s">
        <v>88</v>
      </c>
      <c r="C111" s="10" t="s">
        <v>16</v>
      </c>
      <c r="D111" s="12">
        <v>27</v>
      </c>
      <c r="E111" s="12">
        <v>980</v>
      </c>
      <c r="F111" s="12">
        <f t="shared" si="3"/>
        <v>26460</v>
      </c>
    </row>
    <row r="112" spans="1:7" ht="18" customHeight="1" x14ac:dyDescent="0.25">
      <c r="A112" s="10">
        <v>11</v>
      </c>
      <c r="B112" s="11" t="s">
        <v>89</v>
      </c>
      <c r="C112" s="10" t="s">
        <v>28</v>
      </c>
      <c r="D112" s="12">
        <v>16</v>
      </c>
      <c r="E112" s="12">
        <v>320</v>
      </c>
      <c r="F112" s="12">
        <f t="shared" si="3"/>
        <v>5120</v>
      </c>
    </row>
    <row r="113" spans="1:7" ht="18" customHeight="1" x14ac:dyDescent="0.25">
      <c r="A113" s="10">
        <v>12</v>
      </c>
      <c r="B113" s="11" t="s">
        <v>90</v>
      </c>
      <c r="C113" s="10" t="s">
        <v>52</v>
      </c>
      <c r="D113" s="12">
        <v>36</v>
      </c>
      <c r="E113" s="12">
        <v>65</v>
      </c>
      <c r="F113" s="12">
        <f t="shared" si="3"/>
        <v>2340</v>
      </c>
    </row>
    <row r="114" spans="1:7" ht="60" customHeight="1" x14ac:dyDescent="0.25">
      <c r="A114" s="10">
        <v>13</v>
      </c>
      <c r="B114" s="11" t="s">
        <v>91</v>
      </c>
      <c r="C114" s="10" t="s">
        <v>28</v>
      </c>
      <c r="D114" s="12">
        <v>22</v>
      </c>
      <c r="E114" s="12">
        <v>480</v>
      </c>
      <c r="F114" s="12">
        <f t="shared" si="3"/>
        <v>10560</v>
      </c>
    </row>
    <row r="115" spans="1:7" ht="18" customHeight="1" x14ac:dyDescent="0.25">
      <c r="A115" s="10">
        <v>14</v>
      </c>
      <c r="B115" s="11" t="s">
        <v>92</v>
      </c>
      <c r="C115" s="10" t="s">
        <v>16</v>
      </c>
      <c r="D115" s="12">
        <v>3</v>
      </c>
      <c r="E115" s="12">
        <v>360</v>
      </c>
      <c r="F115" s="12">
        <f t="shared" si="3"/>
        <v>1080</v>
      </c>
    </row>
    <row r="116" spans="1:7" ht="18" customHeight="1" x14ac:dyDescent="0.25">
      <c r="A116" s="10">
        <v>15</v>
      </c>
      <c r="B116" s="11" t="s">
        <v>93</v>
      </c>
      <c r="C116" s="10" t="s">
        <v>16</v>
      </c>
      <c r="D116" s="12">
        <v>3</v>
      </c>
      <c r="E116" s="12">
        <v>840</v>
      </c>
      <c r="F116" s="12">
        <f t="shared" si="3"/>
        <v>2520</v>
      </c>
    </row>
    <row r="117" spans="1:7" ht="18" customHeight="1" x14ac:dyDescent="0.25">
      <c r="A117" s="13"/>
      <c r="B117" s="14" t="s">
        <v>94</v>
      </c>
      <c r="C117" s="13"/>
      <c r="D117" s="15"/>
      <c r="E117" s="15"/>
      <c r="F117" s="15">
        <f>SUM(F102:F116)</f>
        <v>151270</v>
      </c>
    </row>
    <row r="118" spans="1:7" ht="18" customHeight="1" x14ac:dyDescent="0.25">
      <c r="D118" s="5"/>
      <c r="E118" s="5"/>
      <c r="F118" s="5"/>
    </row>
    <row r="119" spans="1:7" ht="18" customHeight="1" x14ac:dyDescent="0.25">
      <c r="D119" s="5"/>
      <c r="E119" s="5"/>
      <c r="F119" s="5"/>
    </row>
    <row r="120" spans="1:7" ht="18" customHeight="1" x14ac:dyDescent="0.25">
      <c r="A120" s="6" t="s">
        <v>3</v>
      </c>
      <c r="B120" s="6" t="s">
        <v>4</v>
      </c>
      <c r="C120" s="6" t="s">
        <v>5</v>
      </c>
      <c r="D120" s="7" t="s">
        <v>6</v>
      </c>
      <c r="E120" s="7" t="s">
        <v>7</v>
      </c>
      <c r="F120" s="7" t="s">
        <v>8</v>
      </c>
      <c r="G120" s="6"/>
    </row>
    <row r="121" spans="1:7" ht="18" customHeight="1" x14ac:dyDescent="0.25">
      <c r="A121" s="8"/>
      <c r="B121" s="8" t="s">
        <v>95</v>
      </c>
      <c r="C121" s="8"/>
      <c r="D121" s="9"/>
      <c r="E121" s="9"/>
      <c r="F121" s="9"/>
    </row>
    <row r="122" spans="1:7" ht="18" customHeight="1" x14ac:dyDescent="0.25">
      <c r="D122" s="5"/>
      <c r="E122" s="5"/>
      <c r="F122" s="5"/>
    </row>
    <row r="123" spans="1:7" ht="18" customHeight="1" x14ac:dyDescent="0.25">
      <c r="A123" s="10">
        <v>1</v>
      </c>
      <c r="B123" s="11" t="s">
        <v>96</v>
      </c>
      <c r="C123" s="10" t="s">
        <v>16</v>
      </c>
      <c r="D123" s="12">
        <v>3</v>
      </c>
      <c r="E123" s="12">
        <v>1650</v>
      </c>
      <c r="F123" s="12">
        <f>E123*D123</f>
        <v>4950</v>
      </c>
    </row>
    <row r="124" spans="1:7" ht="18" customHeight="1" x14ac:dyDescent="0.25">
      <c r="A124" s="10">
        <v>2</v>
      </c>
      <c r="B124" s="11" t="s">
        <v>97</v>
      </c>
      <c r="C124" s="10" t="s">
        <v>16</v>
      </c>
      <c r="D124" s="12">
        <v>6</v>
      </c>
      <c r="E124" s="12">
        <v>4800</v>
      </c>
      <c r="F124" s="12">
        <f>E124*D124</f>
        <v>28800</v>
      </c>
    </row>
    <row r="125" spans="1:7" ht="18" customHeight="1" x14ac:dyDescent="0.25">
      <c r="A125" s="13"/>
      <c r="B125" s="14" t="s">
        <v>98</v>
      </c>
      <c r="C125" s="13"/>
      <c r="D125" s="15"/>
      <c r="E125" s="15"/>
      <c r="F125" s="15">
        <f>SUM(F123:F124)</f>
        <v>33750</v>
      </c>
    </row>
    <row r="126" spans="1:7" ht="18" customHeight="1" x14ac:dyDescent="0.25">
      <c r="D126" s="5"/>
      <c r="E126" s="5"/>
      <c r="F126" s="5"/>
    </row>
    <row r="127" spans="1:7" ht="18" customHeight="1" x14ac:dyDescent="0.25">
      <c r="D127" s="5"/>
      <c r="E127" s="5"/>
      <c r="F127" s="5"/>
    </row>
    <row r="128" spans="1:7" ht="18" customHeight="1" x14ac:dyDescent="0.25">
      <c r="A128" s="6" t="s">
        <v>3</v>
      </c>
      <c r="B128" s="6" t="s">
        <v>4</v>
      </c>
      <c r="C128" s="6" t="s">
        <v>5</v>
      </c>
      <c r="D128" s="7" t="s">
        <v>6</v>
      </c>
      <c r="E128" s="7" t="s">
        <v>7</v>
      </c>
      <c r="F128" s="7" t="s">
        <v>8</v>
      </c>
      <c r="G128" s="6"/>
    </row>
    <row r="129" spans="1:7" ht="18" customHeight="1" x14ac:dyDescent="0.25">
      <c r="A129" s="8"/>
      <c r="B129" s="8" t="s">
        <v>99</v>
      </c>
      <c r="C129" s="8"/>
      <c r="D129" s="9"/>
      <c r="E129" s="9"/>
      <c r="F129" s="9"/>
    </row>
    <row r="130" spans="1:7" ht="18" customHeight="1" x14ac:dyDescent="0.25">
      <c r="D130" s="5"/>
      <c r="E130" s="5"/>
      <c r="F130" s="5"/>
    </row>
    <row r="131" spans="1:7" ht="18" customHeight="1" x14ac:dyDescent="0.25">
      <c r="A131" s="10">
        <v>1</v>
      </c>
      <c r="B131" s="11" t="s">
        <v>100</v>
      </c>
      <c r="C131" s="10" t="s">
        <v>52</v>
      </c>
      <c r="D131" s="12">
        <v>10</v>
      </c>
      <c r="E131" s="12">
        <v>85</v>
      </c>
      <c r="F131" s="12">
        <f>E131*D131</f>
        <v>850</v>
      </c>
    </row>
    <row r="132" spans="1:7" ht="18" customHeight="1" x14ac:dyDescent="0.25">
      <c r="A132" s="10">
        <v>2</v>
      </c>
      <c r="B132" s="11" t="s">
        <v>101</v>
      </c>
      <c r="C132" s="10" t="s">
        <v>52</v>
      </c>
      <c r="D132" s="12">
        <v>10</v>
      </c>
      <c r="E132" s="12">
        <v>70</v>
      </c>
      <c r="F132" s="12">
        <f>E132*D132</f>
        <v>700</v>
      </c>
    </row>
    <row r="133" spans="1:7" ht="18" customHeight="1" x14ac:dyDescent="0.25">
      <c r="A133" s="10">
        <v>3</v>
      </c>
      <c r="B133" s="11" t="s">
        <v>102</v>
      </c>
      <c r="C133" s="10" t="s">
        <v>16</v>
      </c>
      <c r="D133" s="12">
        <v>1</v>
      </c>
      <c r="E133" s="12">
        <v>16800</v>
      </c>
      <c r="F133" s="12">
        <f>E133*D133</f>
        <v>16800</v>
      </c>
    </row>
    <row r="134" spans="1:7" ht="18" customHeight="1" x14ac:dyDescent="0.25">
      <c r="A134" s="13"/>
      <c r="B134" s="14" t="s">
        <v>103</v>
      </c>
      <c r="C134" s="13"/>
      <c r="D134" s="15"/>
      <c r="E134" s="15"/>
      <c r="F134" s="15">
        <f>SUM(F131:F133)</f>
        <v>18350</v>
      </c>
    </row>
    <row r="135" spans="1:7" ht="18" customHeight="1" x14ac:dyDescent="0.25">
      <c r="D135" s="5"/>
      <c r="E135" s="5"/>
      <c r="F135" s="5"/>
    </row>
    <row r="136" spans="1:7" ht="18" customHeight="1" x14ac:dyDescent="0.25">
      <c r="D136" s="5"/>
      <c r="E136" s="5"/>
      <c r="F136" s="5"/>
    </row>
    <row r="137" spans="1:7" ht="18" customHeight="1" x14ac:dyDescent="0.25">
      <c r="A137" s="6" t="s">
        <v>3</v>
      </c>
      <c r="B137" s="6" t="s">
        <v>4</v>
      </c>
      <c r="C137" s="6" t="s">
        <v>5</v>
      </c>
      <c r="D137" s="7" t="s">
        <v>6</v>
      </c>
      <c r="E137" s="7" t="s">
        <v>7</v>
      </c>
      <c r="F137" s="7" t="s">
        <v>8</v>
      </c>
      <c r="G137" s="6"/>
    </row>
    <row r="138" spans="1:7" ht="18" customHeight="1" x14ac:dyDescent="0.25">
      <c r="A138" s="8"/>
      <c r="B138" s="8" t="s">
        <v>104</v>
      </c>
      <c r="C138" s="8"/>
      <c r="D138" s="9"/>
      <c r="E138" s="9"/>
      <c r="F138" s="9"/>
    </row>
    <row r="139" spans="1:7" ht="18" customHeight="1" x14ac:dyDescent="0.25">
      <c r="D139" s="5"/>
      <c r="E139" s="5"/>
      <c r="F139" s="5"/>
    </row>
    <row r="140" spans="1:7" ht="30" customHeight="1" x14ac:dyDescent="0.25">
      <c r="A140" s="10">
        <v>1</v>
      </c>
      <c r="B140" s="11" t="s">
        <v>105</v>
      </c>
      <c r="C140" s="10" t="s">
        <v>16</v>
      </c>
      <c r="D140" s="12">
        <v>1</v>
      </c>
      <c r="E140" s="12">
        <v>280</v>
      </c>
      <c r="F140" s="12">
        <f>E140*D140</f>
        <v>280</v>
      </c>
    </row>
    <row r="141" spans="1:7" ht="30" customHeight="1" x14ac:dyDescent="0.25">
      <c r="A141" s="10">
        <v>2</v>
      </c>
      <c r="B141" s="11" t="s">
        <v>106</v>
      </c>
      <c r="C141" s="10" t="s">
        <v>16</v>
      </c>
      <c r="D141" s="12">
        <v>3</v>
      </c>
      <c r="E141" s="12">
        <v>220</v>
      </c>
      <c r="F141" s="12">
        <f>E141*D141</f>
        <v>660</v>
      </c>
    </row>
    <row r="142" spans="1:7" ht="30" customHeight="1" x14ac:dyDescent="0.25">
      <c r="A142" s="10">
        <v>3</v>
      </c>
      <c r="B142" s="11" t="s">
        <v>107</v>
      </c>
      <c r="C142" s="10" t="s">
        <v>16</v>
      </c>
      <c r="D142" s="12">
        <v>3</v>
      </c>
      <c r="E142" s="12">
        <v>180</v>
      </c>
      <c r="F142" s="12">
        <f>E142*D142</f>
        <v>540</v>
      </c>
    </row>
    <row r="143" spans="1:7" ht="18" customHeight="1" x14ac:dyDescent="0.25">
      <c r="A143" s="10">
        <v>4</v>
      </c>
      <c r="B143" s="11" t="s">
        <v>108</v>
      </c>
      <c r="C143" s="10" t="s">
        <v>16</v>
      </c>
      <c r="D143" s="12">
        <v>1</v>
      </c>
      <c r="E143" s="12">
        <v>1600</v>
      </c>
      <c r="F143" s="12">
        <f>E143*D143</f>
        <v>1600</v>
      </c>
    </row>
    <row r="144" spans="1:7" ht="18" customHeight="1" x14ac:dyDescent="0.25">
      <c r="A144" s="10">
        <v>5</v>
      </c>
      <c r="B144" s="11" t="s">
        <v>109</v>
      </c>
      <c r="C144" s="10" t="s">
        <v>18</v>
      </c>
      <c r="D144" s="12">
        <v>1</v>
      </c>
      <c r="E144" s="12">
        <v>9500</v>
      </c>
      <c r="F144" s="12">
        <f>E144*D144</f>
        <v>9500</v>
      </c>
    </row>
    <row r="145" spans="1:7" ht="18" customHeight="1" x14ac:dyDescent="0.25">
      <c r="A145" s="13"/>
      <c r="B145" s="14" t="s">
        <v>110</v>
      </c>
      <c r="C145" s="13"/>
      <c r="D145" s="15"/>
      <c r="E145" s="15"/>
      <c r="F145" s="15">
        <f>SUM(F140:F144)</f>
        <v>12580</v>
      </c>
    </row>
    <row r="146" spans="1:7" ht="18" customHeight="1" x14ac:dyDescent="0.25">
      <c r="D146" s="5"/>
      <c r="E146" s="5"/>
      <c r="F146" s="5"/>
    </row>
    <row r="147" spans="1:7" ht="18" customHeight="1" x14ac:dyDescent="0.25">
      <c r="D147" s="5"/>
      <c r="E147" s="5"/>
      <c r="F147" s="5"/>
    </row>
    <row r="148" spans="1:7" ht="18" customHeight="1" x14ac:dyDescent="0.25">
      <c r="A148" s="6" t="s">
        <v>3</v>
      </c>
      <c r="B148" s="6" t="s">
        <v>4</v>
      </c>
      <c r="C148" s="6" t="s">
        <v>5</v>
      </c>
      <c r="D148" s="7" t="s">
        <v>6</v>
      </c>
      <c r="E148" s="7" t="s">
        <v>7</v>
      </c>
      <c r="F148" s="7" t="s">
        <v>8</v>
      </c>
      <c r="G148" s="6"/>
    </row>
    <row r="149" spans="1:7" ht="18" customHeight="1" x14ac:dyDescent="0.25">
      <c r="A149" s="8"/>
      <c r="B149" s="8" t="s">
        <v>111</v>
      </c>
      <c r="C149" s="8"/>
      <c r="D149" s="9"/>
      <c r="E149" s="9"/>
      <c r="F149" s="9"/>
    </row>
    <row r="150" spans="1:7" ht="18" customHeight="1" x14ac:dyDescent="0.25">
      <c r="D150" s="5"/>
      <c r="E150" s="5"/>
      <c r="F150" s="5"/>
    </row>
    <row r="151" spans="1:7" ht="18" customHeight="1" x14ac:dyDescent="0.25">
      <c r="A151" s="10">
        <v>1</v>
      </c>
      <c r="B151" s="11" t="s">
        <v>112</v>
      </c>
      <c r="C151" s="10" t="s">
        <v>52</v>
      </c>
      <c r="D151" s="12">
        <v>15</v>
      </c>
      <c r="E151" s="12">
        <v>160</v>
      </c>
      <c r="F151" s="12">
        <f>E151*D151</f>
        <v>2400</v>
      </c>
    </row>
    <row r="152" spans="1:7" ht="18" customHeight="1" x14ac:dyDescent="0.25">
      <c r="A152" s="10">
        <v>2</v>
      </c>
      <c r="B152" s="11" t="s">
        <v>113</v>
      </c>
      <c r="C152" s="10" t="s">
        <v>52</v>
      </c>
      <c r="D152" s="12">
        <v>10</v>
      </c>
      <c r="E152" s="12">
        <v>120</v>
      </c>
      <c r="F152" s="12">
        <f>E152*D152</f>
        <v>1200</v>
      </c>
    </row>
    <row r="153" spans="1:7" ht="18" customHeight="1" x14ac:dyDescent="0.25">
      <c r="A153" s="10">
        <v>3</v>
      </c>
      <c r="B153" s="11" t="s">
        <v>114</v>
      </c>
      <c r="C153" s="10" t="s">
        <v>18</v>
      </c>
      <c r="D153" s="12">
        <v>1</v>
      </c>
      <c r="E153" s="12">
        <v>3200</v>
      </c>
      <c r="F153" s="12">
        <f>E153*D153</f>
        <v>3200</v>
      </c>
    </row>
    <row r="154" spans="1:7" ht="45" customHeight="1" x14ac:dyDescent="0.25">
      <c r="A154" s="10">
        <v>4</v>
      </c>
      <c r="B154" s="11" t="s">
        <v>115</v>
      </c>
      <c r="C154" s="10" t="s">
        <v>16</v>
      </c>
      <c r="D154" s="12">
        <v>1</v>
      </c>
      <c r="E154" s="12">
        <v>1450</v>
      </c>
      <c r="F154" s="12">
        <f>E154*D154</f>
        <v>1450</v>
      </c>
    </row>
    <row r="155" spans="1:7" ht="72" customHeight="1" x14ac:dyDescent="0.25">
      <c r="A155" s="10">
        <v>5</v>
      </c>
      <c r="B155" s="11" t="s">
        <v>116</v>
      </c>
      <c r="C155" s="10" t="s">
        <v>16</v>
      </c>
      <c r="D155" s="12">
        <v>1</v>
      </c>
      <c r="E155" s="12">
        <v>3600</v>
      </c>
      <c r="F155" s="12">
        <f>E155*D155</f>
        <v>3600</v>
      </c>
    </row>
    <row r="156" spans="1:7" ht="18" customHeight="1" x14ac:dyDescent="0.25">
      <c r="A156" s="13"/>
      <c r="B156" s="14" t="s">
        <v>117</v>
      </c>
      <c r="C156" s="13"/>
      <c r="D156" s="15"/>
      <c r="E156" s="15"/>
      <c r="F156" s="15">
        <f>SUM(F151:F155)</f>
        <v>11850</v>
      </c>
    </row>
    <row r="157" spans="1:7" ht="18" customHeight="1" x14ac:dyDescent="0.25">
      <c r="D157" s="5"/>
      <c r="E157" s="5"/>
      <c r="F157" s="5"/>
    </row>
    <row r="158" spans="1:7" ht="18" customHeight="1" x14ac:dyDescent="0.25">
      <c r="D158" s="5"/>
      <c r="E158" s="5"/>
      <c r="F158" s="5"/>
    </row>
    <row r="159" spans="1:7" ht="18" customHeight="1" x14ac:dyDescent="0.25">
      <c r="A159" s="6" t="s">
        <v>3</v>
      </c>
      <c r="B159" s="6" t="s">
        <v>4</v>
      </c>
      <c r="C159" s="6" t="s">
        <v>5</v>
      </c>
      <c r="D159" s="7" t="s">
        <v>6</v>
      </c>
      <c r="E159" s="7" t="s">
        <v>7</v>
      </c>
      <c r="F159" s="7" t="s">
        <v>8</v>
      </c>
      <c r="G159" s="6"/>
    </row>
    <row r="160" spans="1:7" ht="18" customHeight="1" x14ac:dyDescent="0.25">
      <c r="A160" s="8"/>
      <c r="B160" s="8" t="s">
        <v>118</v>
      </c>
      <c r="C160" s="8"/>
      <c r="D160" s="9"/>
      <c r="E160" s="9"/>
      <c r="F160" s="9"/>
    </row>
    <row r="161" spans="1:7" ht="18" customHeight="1" x14ac:dyDescent="0.25">
      <c r="D161" s="5"/>
      <c r="E161" s="5"/>
      <c r="F161" s="5"/>
    </row>
    <row r="162" spans="1:7" ht="45" customHeight="1" x14ac:dyDescent="0.25">
      <c r="A162" s="10">
        <v>1</v>
      </c>
      <c r="B162" s="11" t="s">
        <v>119</v>
      </c>
      <c r="C162" s="10" t="s">
        <v>16</v>
      </c>
      <c r="D162" s="12">
        <v>1</v>
      </c>
      <c r="E162" s="12">
        <v>7900</v>
      </c>
      <c r="F162" s="12">
        <f>E162*D162</f>
        <v>7900</v>
      </c>
    </row>
    <row r="163" spans="1:7" ht="45" customHeight="1" x14ac:dyDescent="0.25">
      <c r="A163" s="10">
        <v>2</v>
      </c>
      <c r="B163" s="11" t="s">
        <v>120</v>
      </c>
      <c r="C163" s="10" t="s">
        <v>16</v>
      </c>
      <c r="D163" s="12">
        <v>1</v>
      </c>
      <c r="E163" s="12">
        <v>19900</v>
      </c>
      <c r="F163" s="12">
        <f>E163*D163</f>
        <v>19900</v>
      </c>
    </row>
    <row r="164" spans="1:7" ht="18" customHeight="1" x14ac:dyDescent="0.25">
      <c r="A164" s="13"/>
      <c r="B164" s="14" t="s">
        <v>121</v>
      </c>
      <c r="C164" s="13"/>
      <c r="D164" s="15"/>
      <c r="E164" s="15"/>
      <c r="F164" s="15">
        <f>SUM(F162:F163)</f>
        <v>27800</v>
      </c>
    </row>
    <row r="165" spans="1:7" ht="18" customHeight="1" x14ac:dyDescent="0.25">
      <c r="D165" s="5"/>
      <c r="E165" s="5"/>
      <c r="F165" s="5"/>
    </row>
    <row r="166" spans="1:7" ht="18" customHeight="1" x14ac:dyDescent="0.25">
      <c r="D166" s="5"/>
      <c r="E166" s="5"/>
      <c r="F166" s="5"/>
    </row>
    <row r="167" spans="1:7" ht="18" customHeight="1" x14ac:dyDescent="0.25">
      <c r="A167" s="6" t="s">
        <v>3</v>
      </c>
      <c r="B167" s="6" t="s">
        <v>4</v>
      </c>
      <c r="C167" s="6" t="s">
        <v>5</v>
      </c>
      <c r="D167" s="7" t="s">
        <v>6</v>
      </c>
      <c r="E167" s="7" t="s">
        <v>7</v>
      </c>
      <c r="F167" s="7" t="s">
        <v>8</v>
      </c>
      <c r="G167" s="6"/>
    </row>
    <row r="168" spans="1:7" ht="18" customHeight="1" x14ac:dyDescent="0.25">
      <c r="A168" s="8"/>
      <c r="B168" s="8" t="s">
        <v>122</v>
      </c>
      <c r="C168" s="8"/>
      <c r="D168" s="9"/>
      <c r="E168" s="9"/>
      <c r="F168" s="9"/>
    </row>
    <row r="169" spans="1:7" ht="18" customHeight="1" x14ac:dyDescent="0.25">
      <c r="D169" s="5"/>
      <c r="E169" s="5"/>
      <c r="F169" s="5"/>
    </row>
    <row r="170" spans="1:7" ht="30" customHeight="1" x14ac:dyDescent="0.25">
      <c r="A170" s="10">
        <v>1</v>
      </c>
      <c r="B170" s="11" t="s">
        <v>123</v>
      </c>
      <c r="C170" s="10" t="s">
        <v>18</v>
      </c>
      <c r="D170" s="12">
        <v>1</v>
      </c>
      <c r="E170" s="12">
        <v>23100</v>
      </c>
      <c r="F170" s="12">
        <f>E170*D170</f>
        <v>23100</v>
      </c>
    </row>
    <row r="171" spans="1:7" ht="18" customHeight="1" x14ac:dyDescent="0.25">
      <c r="A171" s="13"/>
      <c r="B171" s="14" t="s">
        <v>124</v>
      </c>
      <c r="C171" s="13"/>
      <c r="D171" s="15"/>
      <c r="E171" s="15"/>
      <c r="F171" s="15">
        <f>SUM(F170:F170)</f>
        <v>23100</v>
      </c>
    </row>
    <row r="172" spans="1:7" ht="18" customHeight="1" x14ac:dyDescent="0.25">
      <c r="D172" s="5"/>
      <c r="E172" s="5"/>
      <c r="F172" s="5"/>
    </row>
    <row r="173" spans="1:7" ht="18" customHeight="1" x14ac:dyDescent="0.25">
      <c r="D173" s="5"/>
      <c r="E173" s="5"/>
      <c r="F173" s="5"/>
    </row>
    <row r="174" spans="1:7" ht="18" customHeight="1" x14ac:dyDescent="0.25">
      <c r="A174" s="6" t="s">
        <v>3</v>
      </c>
      <c r="B174" s="6" t="s">
        <v>4</v>
      </c>
      <c r="C174" s="6" t="s">
        <v>5</v>
      </c>
      <c r="D174" s="7" t="s">
        <v>6</v>
      </c>
      <c r="E174" s="7" t="s">
        <v>7</v>
      </c>
      <c r="F174" s="7" t="s">
        <v>8</v>
      </c>
      <c r="G174" s="6"/>
    </row>
    <row r="175" spans="1:7" ht="18" customHeight="1" x14ac:dyDescent="0.25">
      <c r="A175" s="8"/>
      <c r="B175" s="8" t="s">
        <v>125</v>
      </c>
      <c r="C175" s="8"/>
      <c r="D175" s="9"/>
      <c r="E175" s="9"/>
      <c r="F175" s="9"/>
    </row>
    <row r="176" spans="1:7" ht="18" customHeight="1" x14ac:dyDescent="0.25">
      <c r="D176" s="5"/>
      <c r="E176" s="5"/>
      <c r="F176" s="5"/>
    </row>
    <row r="177" spans="1:7" ht="45" customHeight="1" x14ac:dyDescent="0.25">
      <c r="A177" s="10">
        <v>1</v>
      </c>
      <c r="B177" s="11" t="s">
        <v>126</v>
      </c>
      <c r="C177" s="10" t="s">
        <v>18</v>
      </c>
      <c r="D177" s="12">
        <v>1</v>
      </c>
      <c r="E177" s="12">
        <v>23700</v>
      </c>
      <c r="F177" s="12">
        <f>E177*D177</f>
        <v>23700</v>
      </c>
    </row>
    <row r="178" spans="1:7" ht="18" customHeight="1" x14ac:dyDescent="0.25">
      <c r="A178" s="13"/>
      <c r="B178" s="14" t="s">
        <v>127</v>
      </c>
      <c r="C178" s="13"/>
      <c r="D178" s="15"/>
      <c r="E178" s="15"/>
      <c r="F178" s="15">
        <f>SUM(F177:F177)</f>
        <v>23700</v>
      </c>
    </row>
    <row r="179" spans="1:7" ht="18" customHeight="1" x14ac:dyDescent="0.25">
      <c r="D179" s="5"/>
      <c r="E179" s="5"/>
      <c r="F179" s="5"/>
    </row>
    <row r="180" spans="1:7" ht="18" customHeight="1" x14ac:dyDescent="0.25">
      <c r="D180" s="5"/>
      <c r="E180" s="5"/>
      <c r="F180" s="5"/>
    </row>
    <row r="181" spans="1:7" ht="18" customHeight="1" x14ac:dyDescent="0.25">
      <c r="A181" s="6" t="s">
        <v>3</v>
      </c>
      <c r="B181" s="6" t="s">
        <v>4</v>
      </c>
      <c r="C181" s="6" t="s">
        <v>5</v>
      </c>
      <c r="D181" s="7" t="s">
        <v>6</v>
      </c>
      <c r="E181" s="7" t="s">
        <v>7</v>
      </c>
      <c r="F181" s="7" t="s">
        <v>8</v>
      </c>
      <c r="G181" s="6"/>
    </row>
    <row r="182" spans="1:7" ht="18" customHeight="1" x14ac:dyDescent="0.25">
      <c r="A182" s="8"/>
      <c r="B182" s="8" t="s">
        <v>128</v>
      </c>
      <c r="C182" s="8"/>
      <c r="D182" s="9"/>
      <c r="E182" s="9"/>
      <c r="F182" s="9"/>
    </row>
    <row r="183" spans="1:7" ht="18" customHeight="1" x14ac:dyDescent="0.25">
      <c r="D183" s="5"/>
      <c r="E183" s="5"/>
      <c r="F183" s="5"/>
    </row>
    <row r="184" spans="1:7" ht="18" customHeight="1" x14ac:dyDescent="0.25">
      <c r="A184" s="10">
        <v>1</v>
      </c>
      <c r="B184" s="11" t="s">
        <v>129</v>
      </c>
      <c r="C184" s="10" t="s">
        <v>18</v>
      </c>
      <c r="D184" s="12">
        <v>1</v>
      </c>
      <c r="E184" s="12">
        <v>7650</v>
      </c>
      <c r="F184" s="12">
        <f>E184*D184</f>
        <v>7650</v>
      </c>
    </row>
    <row r="185" spans="1:7" ht="72" customHeight="1" x14ac:dyDescent="0.25">
      <c r="A185" s="10">
        <v>2</v>
      </c>
      <c r="B185" s="11" t="s">
        <v>130</v>
      </c>
      <c r="C185" s="10" t="s">
        <v>16</v>
      </c>
      <c r="D185" s="12">
        <v>1</v>
      </c>
      <c r="E185" s="12">
        <v>8800</v>
      </c>
      <c r="F185" s="12">
        <f>E185*D185</f>
        <v>8800</v>
      </c>
    </row>
    <row r="186" spans="1:7" ht="18" customHeight="1" x14ac:dyDescent="0.25">
      <c r="A186" s="13"/>
      <c r="B186" s="14" t="s">
        <v>131</v>
      </c>
      <c r="C186" s="13"/>
      <c r="D186" s="15"/>
      <c r="E186" s="15"/>
      <c r="F186" s="15">
        <f>SUM(F184:F185)</f>
        <v>16450</v>
      </c>
    </row>
    <row r="187" spans="1:7" ht="18" customHeight="1" x14ac:dyDescent="0.25">
      <c r="D187" s="5"/>
      <c r="E187" s="5"/>
      <c r="F187" s="5"/>
    </row>
    <row r="188" spans="1:7" ht="18" customHeight="1" x14ac:dyDescent="0.25">
      <c r="D188" s="5"/>
      <c r="E188" s="5"/>
      <c r="F188" s="5"/>
    </row>
    <row r="189" spans="1:7" ht="18" customHeight="1" x14ac:dyDescent="0.25">
      <c r="A189" s="6" t="s">
        <v>3</v>
      </c>
      <c r="B189" s="6" t="s">
        <v>4</v>
      </c>
      <c r="C189" s="6" t="s">
        <v>5</v>
      </c>
      <c r="D189" s="7" t="s">
        <v>6</v>
      </c>
      <c r="E189" s="7" t="s">
        <v>7</v>
      </c>
      <c r="F189" s="7" t="s">
        <v>8</v>
      </c>
      <c r="G189" s="6"/>
    </row>
    <row r="190" spans="1:7" ht="18" customHeight="1" x14ac:dyDescent="0.25">
      <c r="A190" s="8"/>
      <c r="B190" s="8" t="s">
        <v>132</v>
      </c>
      <c r="C190" s="8"/>
      <c r="D190" s="9"/>
      <c r="E190" s="9"/>
      <c r="F190" s="9"/>
    </row>
    <row r="191" spans="1:7" ht="18" customHeight="1" x14ac:dyDescent="0.25">
      <c r="D191" s="5"/>
      <c r="E191" s="5"/>
      <c r="F191" s="5"/>
    </row>
    <row r="192" spans="1:7" ht="30" customHeight="1" x14ac:dyDescent="0.25">
      <c r="A192" s="10">
        <v>1</v>
      </c>
      <c r="B192" s="11" t="s">
        <v>133</v>
      </c>
      <c r="C192" s="10" t="s">
        <v>16</v>
      </c>
      <c r="D192" s="12">
        <v>1</v>
      </c>
      <c r="E192" s="12">
        <v>9800</v>
      </c>
      <c r="F192" s="12">
        <f t="shared" ref="F192:F201" si="4">E192*D192</f>
        <v>9800</v>
      </c>
    </row>
    <row r="193" spans="1:7" ht="30" customHeight="1" x14ac:dyDescent="0.25">
      <c r="A193" s="10">
        <v>2</v>
      </c>
      <c r="B193" s="11" t="s">
        <v>134</v>
      </c>
      <c r="C193" s="10" t="s">
        <v>16</v>
      </c>
      <c r="D193" s="12">
        <v>3</v>
      </c>
      <c r="E193" s="12">
        <v>520</v>
      </c>
      <c r="F193" s="12">
        <f t="shared" si="4"/>
        <v>1560</v>
      </c>
    </row>
    <row r="194" spans="1:7" ht="30" customHeight="1" x14ac:dyDescent="0.25">
      <c r="A194" s="10">
        <v>3</v>
      </c>
      <c r="B194" s="11" t="s">
        <v>135</v>
      </c>
      <c r="C194" s="10" t="s">
        <v>16</v>
      </c>
      <c r="D194" s="12">
        <v>2</v>
      </c>
      <c r="E194" s="12">
        <v>520</v>
      </c>
      <c r="F194" s="12">
        <f t="shared" si="4"/>
        <v>1040</v>
      </c>
    </row>
    <row r="195" spans="1:7" ht="30" customHeight="1" x14ac:dyDescent="0.25">
      <c r="A195" s="10">
        <v>4</v>
      </c>
      <c r="B195" s="11" t="s">
        <v>136</v>
      </c>
      <c r="C195" s="10" t="s">
        <v>16</v>
      </c>
      <c r="D195" s="12">
        <v>6</v>
      </c>
      <c r="E195" s="12">
        <v>520</v>
      </c>
      <c r="F195" s="12">
        <f t="shared" si="4"/>
        <v>3120</v>
      </c>
    </row>
    <row r="196" spans="1:7" ht="18" customHeight="1" x14ac:dyDescent="0.25">
      <c r="A196" s="10">
        <v>5</v>
      </c>
      <c r="B196" s="11" t="s">
        <v>137</v>
      </c>
      <c r="C196" s="10" t="s">
        <v>16</v>
      </c>
      <c r="D196" s="12">
        <v>3</v>
      </c>
      <c r="E196" s="12">
        <v>220</v>
      </c>
      <c r="F196" s="12">
        <f t="shared" si="4"/>
        <v>660</v>
      </c>
    </row>
    <row r="197" spans="1:7" ht="18" customHeight="1" x14ac:dyDescent="0.25">
      <c r="A197" s="10">
        <v>6</v>
      </c>
      <c r="B197" s="11" t="s">
        <v>138</v>
      </c>
      <c r="C197" s="10" t="s">
        <v>16</v>
      </c>
      <c r="D197" s="12">
        <v>1</v>
      </c>
      <c r="E197" s="12">
        <v>320</v>
      </c>
      <c r="F197" s="12">
        <f t="shared" si="4"/>
        <v>320</v>
      </c>
    </row>
    <row r="198" spans="1:7" ht="18" customHeight="1" x14ac:dyDescent="0.25">
      <c r="A198" s="10">
        <v>7</v>
      </c>
      <c r="B198" s="11" t="s">
        <v>139</v>
      </c>
      <c r="C198" s="10" t="s">
        <v>16</v>
      </c>
      <c r="D198" s="12">
        <v>7</v>
      </c>
      <c r="E198" s="12">
        <v>420</v>
      </c>
      <c r="F198" s="12">
        <f t="shared" si="4"/>
        <v>2940</v>
      </c>
    </row>
    <row r="199" spans="1:7" ht="18" customHeight="1" x14ac:dyDescent="0.25">
      <c r="A199" s="10">
        <v>8</v>
      </c>
      <c r="B199" s="11" t="s">
        <v>140</v>
      </c>
      <c r="C199" s="10" t="s">
        <v>16</v>
      </c>
      <c r="D199" s="12">
        <v>1</v>
      </c>
      <c r="E199" s="12">
        <v>980</v>
      </c>
      <c r="F199" s="12">
        <f t="shared" si="4"/>
        <v>980</v>
      </c>
    </row>
    <row r="200" spans="1:7" ht="18" customHeight="1" x14ac:dyDescent="0.25">
      <c r="A200" s="10">
        <v>9</v>
      </c>
      <c r="B200" s="11" t="s">
        <v>141</v>
      </c>
      <c r="C200" s="10" t="s">
        <v>16</v>
      </c>
      <c r="D200" s="12">
        <v>1</v>
      </c>
      <c r="E200" s="12">
        <v>850</v>
      </c>
      <c r="F200" s="12">
        <f t="shared" si="4"/>
        <v>850</v>
      </c>
    </row>
    <row r="201" spans="1:7" ht="72" customHeight="1" x14ac:dyDescent="0.25">
      <c r="A201" s="10">
        <v>10</v>
      </c>
      <c r="B201" s="11" t="s">
        <v>142</v>
      </c>
      <c r="C201" s="10" t="s">
        <v>16</v>
      </c>
      <c r="D201" s="12">
        <v>1</v>
      </c>
      <c r="E201" s="12">
        <v>26500</v>
      </c>
      <c r="F201" s="12">
        <f t="shared" si="4"/>
        <v>26500</v>
      </c>
    </row>
    <row r="202" spans="1:7" ht="18" customHeight="1" x14ac:dyDescent="0.25">
      <c r="A202" s="13"/>
      <c r="B202" s="14" t="s">
        <v>143</v>
      </c>
      <c r="C202" s="13"/>
      <c r="D202" s="15"/>
      <c r="E202" s="15"/>
      <c r="F202" s="15">
        <f>SUM(F192:F201)</f>
        <v>47770</v>
      </c>
    </row>
    <row r="203" spans="1:7" ht="18" customHeight="1" x14ac:dyDescent="0.25">
      <c r="D203" s="5"/>
      <c r="E203" s="5"/>
      <c r="F203" s="5"/>
    </row>
    <row r="204" spans="1:7" ht="18" customHeight="1" x14ac:dyDescent="0.25">
      <c r="D204" s="5"/>
      <c r="E204" s="5"/>
      <c r="F204" s="5"/>
    </row>
    <row r="205" spans="1:7" ht="18" customHeight="1" x14ac:dyDescent="0.25">
      <c r="A205" s="6" t="s">
        <v>3</v>
      </c>
      <c r="B205" s="6" t="s">
        <v>4</v>
      </c>
      <c r="C205" s="6" t="s">
        <v>5</v>
      </c>
      <c r="D205" s="7" t="s">
        <v>6</v>
      </c>
      <c r="E205" s="7" t="s">
        <v>7</v>
      </c>
      <c r="F205" s="7" t="s">
        <v>8</v>
      </c>
      <c r="G205" s="6"/>
    </row>
    <row r="206" spans="1:7" ht="18" customHeight="1" x14ac:dyDescent="0.25">
      <c r="A206" s="8"/>
      <c r="B206" s="8" t="s">
        <v>144</v>
      </c>
      <c r="C206" s="8"/>
      <c r="D206" s="9"/>
      <c r="E206" s="9"/>
      <c r="F206" s="9"/>
    </row>
    <row r="207" spans="1:7" ht="18" customHeight="1" x14ac:dyDescent="0.25">
      <c r="D207" s="5"/>
      <c r="E207" s="5"/>
      <c r="F207" s="5"/>
    </row>
    <row r="208" spans="1:7" ht="18" customHeight="1" x14ac:dyDescent="0.25">
      <c r="A208" s="10">
        <v>1</v>
      </c>
      <c r="B208" s="11" t="s">
        <v>145</v>
      </c>
      <c r="C208" s="10" t="s">
        <v>28</v>
      </c>
      <c r="D208" s="12">
        <v>20</v>
      </c>
      <c r="E208" s="12">
        <v>420</v>
      </c>
      <c r="F208" s="12">
        <f t="shared" ref="F208:F215" si="5">E208*D208</f>
        <v>8400</v>
      </c>
    </row>
    <row r="209" spans="1:7" ht="18" customHeight="1" x14ac:dyDescent="0.25">
      <c r="A209" s="10">
        <v>2</v>
      </c>
      <c r="B209" s="11" t="s">
        <v>146</v>
      </c>
      <c r="C209" s="10" t="s">
        <v>28</v>
      </c>
      <c r="D209" s="12">
        <v>115</v>
      </c>
      <c r="E209" s="12">
        <v>185</v>
      </c>
      <c r="F209" s="12">
        <f t="shared" si="5"/>
        <v>21275</v>
      </c>
    </row>
    <row r="210" spans="1:7" ht="18" customHeight="1" x14ac:dyDescent="0.25">
      <c r="A210" s="10">
        <v>3</v>
      </c>
      <c r="B210" s="11" t="s">
        <v>147</v>
      </c>
      <c r="C210" s="10" t="s">
        <v>52</v>
      </c>
      <c r="D210" s="12">
        <v>69</v>
      </c>
      <c r="E210" s="12">
        <v>85</v>
      </c>
      <c r="F210" s="12">
        <f t="shared" si="5"/>
        <v>5865</v>
      </c>
    </row>
    <row r="211" spans="1:7" ht="18" customHeight="1" x14ac:dyDescent="0.25">
      <c r="A211" s="10">
        <v>4</v>
      </c>
      <c r="B211" s="11" t="s">
        <v>148</v>
      </c>
      <c r="C211" s="10" t="s">
        <v>28</v>
      </c>
      <c r="D211" s="12">
        <v>40</v>
      </c>
      <c r="E211" s="12">
        <v>175</v>
      </c>
      <c r="F211" s="12">
        <f t="shared" si="5"/>
        <v>7000</v>
      </c>
    </row>
    <row r="212" spans="1:7" ht="18" customHeight="1" x14ac:dyDescent="0.25">
      <c r="A212" s="10">
        <v>5</v>
      </c>
      <c r="B212" s="11" t="s">
        <v>149</v>
      </c>
      <c r="C212" s="10" t="s">
        <v>28</v>
      </c>
      <c r="D212" s="12">
        <v>39</v>
      </c>
      <c r="E212" s="12">
        <v>75</v>
      </c>
      <c r="F212" s="12">
        <f t="shared" si="5"/>
        <v>2925</v>
      </c>
    </row>
    <row r="213" spans="1:7" ht="30" customHeight="1" x14ac:dyDescent="0.25">
      <c r="A213" s="10">
        <v>6</v>
      </c>
      <c r="B213" s="11" t="s">
        <v>150</v>
      </c>
      <c r="C213" s="10" t="s">
        <v>52</v>
      </c>
      <c r="D213" s="12">
        <v>36</v>
      </c>
      <c r="E213" s="12">
        <v>160</v>
      </c>
      <c r="F213" s="12">
        <f t="shared" si="5"/>
        <v>5760</v>
      </c>
    </row>
    <row r="214" spans="1:7" ht="18" customHeight="1" x14ac:dyDescent="0.25">
      <c r="A214" s="10">
        <v>7</v>
      </c>
      <c r="B214" s="11" t="s">
        <v>151</v>
      </c>
      <c r="C214" s="10" t="s">
        <v>28</v>
      </c>
      <c r="D214" s="12">
        <v>36</v>
      </c>
      <c r="E214" s="12">
        <v>70</v>
      </c>
      <c r="F214" s="12">
        <f t="shared" si="5"/>
        <v>2520</v>
      </c>
    </row>
    <row r="215" spans="1:7" ht="30" customHeight="1" x14ac:dyDescent="0.25">
      <c r="A215" s="10">
        <v>8</v>
      </c>
      <c r="B215" s="11" t="s">
        <v>152</v>
      </c>
      <c r="C215" s="10" t="s">
        <v>52</v>
      </c>
      <c r="D215" s="12">
        <v>36</v>
      </c>
      <c r="E215" s="12">
        <v>150</v>
      </c>
      <c r="F215" s="12">
        <f t="shared" si="5"/>
        <v>5400</v>
      </c>
    </row>
    <row r="216" spans="1:7" ht="18" customHeight="1" x14ac:dyDescent="0.25">
      <c r="A216" s="13"/>
      <c r="B216" s="14" t="s">
        <v>153</v>
      </c>
      <c r="C216" s="13"/>
      <c r="D216" s="15"/>
      <c r="E216" s="15"/>
      <c r="F216" s="15">
        <f>SUM(F208:F215)</f>
        <v>59145</v>
      </c>
    </row>
    <row r="217" spans="1:7" ht="18" customHeight="1" x14ac:dyDescent="0.25">
      <c r="D217" s="5"/>
      <c r="E217" s="5"/>
      <c r="F217" s="5"/>
    </row>
    <row r="218" spans="1:7" ht="18" customHeight="1" x14ac:dyDescent="0.25">
      <c r="D218" s="5"/>
      <c r="E218" s="5"/>
      <c r="F218" s="5"/>
    </row>
    <row r="219" spans="1:7" ht="18" customHeight="1" x14ac:dyDescent="0.25">
      <c r="A219" s="6" t="s">
        <v>3</v>
      </c>
      <c r="B219" s="6" t="s">
        <v>4</v>
      </c>
      <c r="C219" s="6" t="s">
        <v>5</v>
      </c>
      <c r="D219" s="7" t="s">
        <v>6</v>
      </c>
      <c r="E219" s="7" t="s">
        <v>7</v>
      </c>
      <c r="F219" s="7" t="s">
        <v>8</v>
      </c>
      <c r="G219" s="6"/>
    </row>
    <row r="220" spans="1:7" ht="18" customHeight="1" x14ac:dyDescent="0.25">
      <c r="A220" s="8"/>
      <c r="B220" s="8" t="s">
        <v>154</v>
      </c>
      <c r="C220" s="8"/>
      <c r="D220" s="9"/>
      <c r="E220" s="9"/>
      <c r="F220" s="9"/>
    </row>
    <row r="221" spans="1:7" ht="18" customHeight="1" x14ac:dyDescent="0.25">
      <c r="D221" s="5"/>
      <c r="E221" s="5"/>
      <c r="F221" s="5"/>
    </row>
    <row r="222" spans="1:7" ht="18" customHeight="1" x14ac:dyDescent="0.25">
      <c r="A222" s="10">
        <v>1</v>
      </c>
      <c r="B222" s="11" t="s">
        <v>155</v>
      </c>
      <c r="C222" s="10" t="s">
        <v>28</v>
      </c>
      <c r="D222" s="12">
        <v>107</v>
      </c>
      <c r="E222" s="12">
        <v>275</v>
      </c>
      <c r="F222" s="12">
        <f>E222*D222</f>
        <v>29425</v>
      </c>
    </row>
    <row r="223" spans="1:7" ht="18" customHeight="1" x14ac:dyDescent="0.25">
      <c r="A223" s="10">
        <v>2</v>
      </c>
      <c r="B223" s="11" t="s">
        <v>156</v>
      </c>
      <c r="C223" s="10" t="s">
        <v>52</v>
      </c>
      <c r="D223" s="12">
        <v>36</v>
      </c>
      <c r="E223" s="12">
        <v>160</v>
      </c>
      <c r="F223" s="12">
        <f>E223*D223</f>
        <v>5760</v>
      </c>
    </row>
    <row r="224" spans="1:7" ht="18" customHeight="1" x14ac:dyDescent="0.25">
      <c r="A224" s="10">
        <v>3</v>
      </c>
      <c r="B224" s="11" t="s">
        <v>157</v>
      </c>
      <c r="C224" s="10" t="s">
        <v>28</v>
      </c>
      <c r="D224" s="12">
        <v>115</v>
      </c>
      <c r="E224" s="12">
        <v>145</v>
      </c>
      <c r="F224" s="12">
        <f>E224*D224</f>
        <v>16675</v>
      </c>
    </row>
    <row r="225" spans="1:7" ht="18" customHeight="1" x14ac:dyDescent="0.25">
      <c r="A225" s="13"/>
      <c r="B225" s="14" t="s">
        <v>158</v>
      </c>
      <c r="C225" s="13"/>
      <c r="D225" s="15"/>
      <c r="E225" s="15"/>
      <c r="F225" s="15">
        <f>SUM(F222:F224)</f>
        <v>51860</v>
      </c>
    </row>
    <row r="226" spans="1:7" ht="18" customHeight="1" x14ac:dyDescent="0.25">
      <c r="D226" s="5"/>
      <c r="E226" s="5"/>
      <c r="F226" s="5"/>
    </row>
    <row r="227" spans="1:7" ht="18" customHeight="1" x14ac:dyDescent="0.25">
      <c r="D227" s="5"/>
      <c r="E227" s="5"/>
      <c r="F227" s="5"/>
    </row>
    <row r="228" spans="1:7" ht="18" customHeight="1" x14ac:dyDescent="0.25">
      <c r="A228" s="6" t="s">
        <v>3</v>
      </c>
      <c r="B228" s="6" t="s">
        <v>4</v>
      </c>
      <c r="C228" s="6" t="s">
        <v>5</v>
      </c>
      <c r="D228" s="7" t="s">
        <v>6</v>
      </c>
      <c r="E228" s="7" t="s">
        <v>7</v>
      </c>
      <c r="F228" s="7" t="s">
        <v>8</v>
      </c>
      <c r="G228" s="6"/>
    </row>
    <row r="229" spans="1:7" ht="18" customHeight="1" x14ac:dyDescent="0.25">
      <c r="A229" s="8"/>
      <c r="B229" s="8" t="s">
        <v>159</v>
      </c>
      <c r="C229" s="8"/>
      <c r="D229" s="9"/>
      <c r="E229" s="9"/>
      <c r="F229" s="9"/>
    </row>
    <row r="230" spans="1:7" ht="18" customHeight="1" x14ac:dyDescent="0.25">
      <c r="D230" s="5"/>
      <c r="E230" s="5"/>
      <c r="F230" s="5"/>
    </row>
    <row r="231" spans="1:7" ht="18" customHeight="1" x14ac:dyDescent="0.25">
      <c r="A231" s="10">
        <v>1</v>
      </c>
      <c r="B231" s="11" t="s">
        <v>160</v>
      </c>
      <c r="C231" s="10" t="s">
        <v>28</v>
      </c>
      <c r="D231" s="12">
        <v>105</v>
      </c>
      <c r="E231" s="12">
        <v>145</v>
      </c>
      <c r="F231" s="12">
        <f>E231*D231</f>
        <v>15225</v>
      </c>
    </row>
    <row r="232" spans="1:7" ht="18" customHeight="1" x14ac:dyDescent="0.25">
      <c r="A232" s="10">
        <v>2</v>
      </c>
      <c r="B232" s="11" t="s">
        <v>161</v>
      </c>
      <c r="C232" s="10" t="s">
        <v>52</v>
      </c>
      <c r="D232" s="12">
        <v>36</v>
      </c>
      <c r="E232" s="12">
        <v>140</v>
      </c>
      <c r="F232" s="12">
        <f>E232*D232</f>
        <v>5040</v>
      </c>
    </row>
    <row r="233" spans="1:7" ht="18" customHeight="1" x14ac:dyDescent="0.25">
      <c r="A233" s="10">
        <v>3</v>
      </c>
      <c r="B233" s="11" t="s">
        <v>162</v>
      </c>
      <c r="C233" s="10" t="s">
        <v>28</v>
      </c>
      <c r="D233" s="12">
        <v>3</v>
      </c>
      <c r="E233" s="12">
        <v>280</v>
      </c>
      <c r="F233" s="12">
        <f>E233*D233</f>
        <v>840</v>
      </c>
    </row>
    <row r="234" spans="1:7" ht="18" customHeight="1" x14ac:dyDescent="0.25">
      <c r="A234" s="10">
        <v>4</v>
      </c>
      <c r="B234" s="11" t="s">
        <v>163</v>
      </c>
      <c r="C234" s="10" t="s">
        <v>52</v>
      </c>
      <c r="D234" s="12">
        <v>56</v>
      </c>
      <c r="E234" s="12">
        <v>110</v>
      </c>
      <c r="F234" s="12">
        <f>E234*D234</f>
        <v>6160</v>
      </c>
    </row>
    <row r="235" spans="1:7" ht="18" customHeight="1" x14ac:dyDescent="0.25">
      <c r="A235" s="13"/>
      <c r="B235" s="14" t="s">
        <v>164</v>
      </c>
      <c r="C235" s="13"/>
      <c r="D235" s="15"/>
      <c r="E235" s="15"/>
      <c r="F235" s="15">
        <f>SUM(F231:F234)</f>
        <v>27265</v>
      </c>
    </row>
    <row r="236" spans="1:7" ht="18" customHeight="1" x14ac:dyDescent="0.25">
      <c r="D236" s="5"/>
      <c r="E236" s="5"/>
      <c r="F236" s="5"/>
    </row>
    <row r="237" spans="1:7" ht="18" customHeight="1" x14ac:dyDescent="0.25">
      <c r="D237" s="5"/>
      <c r="E237" s="5"/>
      <c r="F237" s="5"/>
    </row>
    <row r="238" spans="1:7" ht="18" customHeight="1" x14ac:dyDescent="0.25">
      <c r="D238" s="5"/>
      <c r="E238" s="5"/>
      <c r="F238" s="5"/>
    </row>
    <row r="239" spans="1:7" ht="18" customHeight="1" x14ac:dyDescent="0.25">
      <c r="A239" s="6" t="s">
        <v>3</v>
      </c>
      <c r="B239" s="6" t="s">
        <v>4</v>
      </c>
      <c r="C239" s="6" t="s">
        <v>5</v>
      </c>
      <c r="D239" s="7" t="s">
        <v>6</v>
      </c>
      <c r="E239" s="7" t="s">
        <v>7</v>
      </c>
      <c r="F239" s="7" t="s">
        <v>8</v>
      </c>
      <c r="G239" s="6"/>
    </row>
    <row r="240" spans="1:7" ht="18" customHeight="1" x14ac:dyDescent="0.25">
      <c r="A240" s="16"/>
      <c r="B240" s="16" t="s">
        <v>165</v>
      </c>
      <c r="C240" s="16"/>
      <c r="D240" s="17"/>
      <c r="E240" s="17"/>
      <c r="F240" s="17"/>
    </row>
    <row r="241" spans="1:6" ht="18" customHeight="1" x14ac:dyDescent="0.25">
      <c r="D241" s="5"/>
      <c r="E241" s="5"/>
      <c r="F241" s="5"/>
    </row>
    <row r="242" spans="1:6" ht="18" customHeight="1" x14ac:dyDescent="0.25">
      <c r="A242" s="18">
        <v>1</v>
      </c>
      <c r="B242" s="19" t="s">
        <v>9</v>
      </c>
      <c r="C242" s="18"/>
      <c r="D242" s="20"/>
      <c r="E242" s="20" t="s">
        <v>166</v>
      </c>
      <c r="F242" s="20">
        <f>F10</f>
        <v>14970</v>
      </c>
    </row>
    <row r="243" spans="1:6" ht="18" customHeight="1" x14ac:dyDescent="0.25">
      <c r="A243" s="18">
        <v>2</v>
      </c>
      <c r="B243" s="19" t="s">
        <v>14</v>
      </c>
      <c r="C243" s="18"/>
      <c r="D243" s="20"/>
      <c r="E243" s="20" t="s">
        <v>166</v>
      </c>
      <c r="F243" s="20">
        <f>F27</f>
        <v>9104</v>
      </c>
    </row>
    <row r="244" spans="1:6" ht="18" customHeight="1" x14ac:dyDescent="0.25">
      <c r="A244" s="18">
        <v>3</v>
      </c>
      <c r="B244" s="19" t="s">
        <v>30</v>
      </c>
      <c r="C244" s="18"/>
      <c r="D244" s="20"/>
      <c r="E244" s="20" t="s">
        <v>166</v>
      </c>
      <c r="F244" s="20">
        <f>F47</f>
        <v>39496</v>
      </c>
    </row>
    <row r="245" spans="1:6" ht="18" customHeight="1" x14ac:dyDescent="0.25">
      <c r="A245" s="18">
        <v>4</v>
      </c>
      <c r="B245" s="19" t="s">
        <v>47</v>
      </c>
      <c r="C245" s="18"/>
      <c r="D245" s="20"/>
      <c r="E245" s="20" t="s">
        <v>166</v>
      </c>
      <c r="F245" s="20">
        <f>F59</f>
        <v>51810</v>
      </c>
    </row>
    <row r="246" spans="1:6" ht="18" customHeight="1" x14ac:dyDescent="0.25">
      <c r="A246" s="18">
        <v>5</v>
      </c>
      <c r="B246" s="19" t="s">
        <v>57</v>
      </c>
      <c r="C246" s="18"/>
      <c r="D246" s="20"/>
      <c r="E246" s="20" t="s">
        <v>166</v>
      </c>
      <c r="F246" s="20">
        <f>F70</f>
        <v>12796</v>
      </c>
    </row>
    <row r="247" spans="1:6" ht="18" customHeight="1" x14ac:dyDescent="0.25">
      <c r="A247" s="18">
        <v>6</v>
      </c>
      <c r="B247" s="19" t="s">
        <v>64</v>
      </c>
      <c r="C247" s="18"/>
      <c r="D247" s="20"/>
      <c r="E247" s="20" t="s">
        <v>166</v>
      </c>
      <c r="F247" s="20">
        <f>F77</f>
        <v>3565</v>
      </c>
    </row>
    <row r="248" spans="1:6" ht="18" customHeight="1" x14ac:dyDescent="0.25">
      <c r="A248" s="18">
        <v>7</v>
      </c>
      <c r="B248" s="19" t="s">
        <v>67</v>
      </c>
      <c r="C248" s="18"/>
      <c r="D248" s="20"/>
      <c r="E248" s="20" t="s">
        <v>166</v>
      </c>
      <c r="F248" s="20">
        <f>F88</f>
        <v>19645</v>
      </c>
    </row>
    <row r="249" spans="1:6" ht="18" customHeight="1" x14ac:dyDescent="0.25">
      <c r="A249" s="18">
        <v>8</v>
      </c>
      <c r="B249" s="19" t="s">
        <v>74</v>
      </c>
      <c r="C249" s="18"/>
      <c r="D249" s="20"/>
      <c r="E249" s="20" t="s">
        <v>166</v>
      </c>
      <c r="F249" s="20">
        <f>F96</f>
        <v>12515</v>
      </c>
    </row>
    <row r="250" spans="1:6" ht="18" customHeight="1" x14ac:dyDescent="0.25">
      <c r="A250" s="18">
        <v>9</v>
      </c>
      <c r="B250" s="19" t="s">
        <v>78</v>
      </c>
      <c r="C250" s="18"/>
      <c r="D250" s="20"/>
      <c r="E250" s="20" t="s">
        <v>166</v>
      </c>
      <c r="F250" s="20">
        <f>F117</f>
        <v>151270</v>
      </c>
    </row>
    <row r="251" spans="1:6" ht="18" customHeight="1" x14ac:dyDescent="0.25">
      <c r="A251" s="18">
        <v>10</v>
      </c>
      <c r="B251" s="19" t="s">
        <v>95</v>
      </c>
      <c r="C251" s="18"/>
      <c r="D251" s="20"/>
      <c r="E251" s="20" t="s">
        <v>166</v>
      </c>
      <c r="F251" s="20">
        <f>F125</f>
        <v>33750</v>
      </c>
    </row>
    <row r="252" spans="1:6" ht="18" customHeight="1" x14ac:dyDescent="0.25">
      <c r="A252" s="18">
        <v>11</v>
      </c>
      <c r="B252" s="19" t="s">
        <v>99</v>
      </c>
      <c r="C252" s="18"/>
      <c r="D252" s="20"/>
      <c r="E252" s="20" t="s">
        <v>166</v>
      </c>
      <c r="F252" s="20">
        <f>F134</f>
        <v>18350</v>
      </c>
    </row>
    <row r="253" spans="1:6" ht="18" customHeight="1" x14ac:dyDescent="0.25">
      <c r="A253" s="18">
        <v>12</v>
      </c>
      <c r="B253" s="19" t="s">
        <v>104</v>
      </c>
      <c r="C253" s="18"/>
      <c r="D253" s="20"/>
      <c r="E253" s="20" t="s">
        <v>166</v>
      </c>
      <c r="F253" s="20">
        <f>F145</f>
        <v>12580</v>
      </c>
    </row>
    <row r="254" spans="1:6" ht="18" customHeight="1" x14ac:dyDescent="0.25">
      <c r="A254" s="18">
        <v>13</v>
      </c>
      <c r="B254" s="19" t="s">
        <v>111</v>
      </c>
      <c r="C254" s="18"/>
      <c r="D254" s="20"/>
      <c r="E254" s="20" t="s">
        <v>166</v>
      </c>
      <c r="F254" s="20">
        <f>F156</f>
        <v>11850</v>
      </c>
    </row>
    <row r="255" spans="1:6" ht="18" customHeight="1" x14ac:dyDescent="0.25">
      <c r="A255" s="18">
        <v>14</v>
      </c>
      <c r="B255" s="19" t="s">
        <v>118</v>
      </c>
      <c r="C255" s="18"/>
      <c r="D255" s="20"/>
      <c r="E255" s="20" t="s">
        <v>166</v>
      </c>
      <c r="F255" s="20">
        <f>F164</f>
        <v>27800</v>
      </c>
    </row>
    <row r="256" spans="1:6" ht="18" customHeight="1" x14ac:dyDescent="0.25">
      <c r="A256" s="18">
        <v>15</v>
      </c>
      <c r="B256" s="19" t="s">
        <v>122</v>
      </c>
      <c r="C256" s="18"/>
      <c r="D256" s="20"/>
      <c r="E256" s="20" t="s">
        <v>166</v>
      </c>
      <c r="F256" s="20">
        <f>F171</f>
        <v>23100</v>
      </c>
    </row>
    <row r="257" spans="1:6" ht="18" customHeight="1" x14ac:dyDescent="0.25">
      <c r="A257" s="18">
        <v>16</v>
      </c>
      <c r="B257" s="19" t="s">
        <v>125</v>
      </c>
      <c r="C257" s="18"/>
      <c r="D257" s="20"/>
      <c r="E257" s="20" t="s">
        <v>166</v>
      </c>
      <c r="F257" s="20">
        <f>F178</f>
        <v>23700</v>
      </c>
    </row>
    <row r="258" spans="1:6" ht="18" customHeight="1" x14ac:dyDescent="0.25">
      <c r="A258" s="18">
        <v>17</v>
      </c>
      <c r="B258" s="19" t="s">
        <v>128</v>
      </c>
      <c r="C258" s="18"/>
      <c r="D258" s="20"/>
      <c r="E258" s="20" t="s">
        <v>166</v>
      </c>
      <c r="F258" s="20">
        <f>F186</f>
        <v>16450</v>
      </c>
    </row>
    <row r="259" spans="1:6" ht="18" customHeight="1" x14ac:dyDescent="0.25">
      <c r="A259" s="18">
        <v>18</v>
      </c>
      <c r="B259" s="19" t="s">
        <v>132</v>
      </c>
      <c r="C259" s="18"/>
      <c r="D259" s="20"/>
      <c r="E259" s="20" t="s">
        <v>166</v>
      </c>
      <c r="F259" s="20">
        <f>F202</f>
        <v>47770</v>
      </c>
    </row>
    <row r="260" spans="1:6" ht="18" customHeight="1" x14ac:dyDescent="0.25">
      <c r="A260" s="18">
        <v>19</v>
      </c>
      <c r="B260" s="19" t="s">
        <v>144</v>
      </c>
      <c r="C260" s="18"/>
      <c r="D260" s="20"/>
      <c r="E260" s="20" t="s">
        <v>166</v>
      </c>
      <c r="F260" s="20">
        <f>F216</f>
        <v>59145</v>
      </c>
    </row>
    <row r="261" spans="1:6" ht="18" customHeight="1" x14ac:dyDescent="0.25">
      <c r="A261" s="18">
        <v>20</v>
      </c>
      <c r="B261" s="19" t="s">
        <v>154</v>
      </c>
      <c r="C261" s="18"/>
      <c r="D261" s="20"/>
      <c r="E261" s="20" t="s">
        <v>166</v>
      </c>
      <c r="F261" s="20">
        <f>F225</f>
        <v>51860</v>
      </c>
    </row>
    <row r="262" spans="1:6" ht="18" customHeight="1" x14ac:dyDescent="0.25">
      <c r="A262" s="18">
        <v>21</v>
      </c>
      <c r="B262" s="19" t="s">
        <v>159</v>
      </c>
      <c r="C262" s="18"/>
      <c r="D262" s="20"/>
      <c r="E262" s="20" t="s">
        <v>166</v>
      </c>
      <c r="F262" s="20">
        <f>F235</f>
        <v>27265</v>
      </c>
    </row>
    <row r="263" spans="1:6" ht="18" customHeight="1" x14ac:dyDescent="0.25">
      <c r="D263" s="5"/>
      <c r="E263" s="5"/>
      <c r="F263" s="5"/>
    </row>
    <row r="264" spans="1:6" ht="18" customHeight="1" x14ac:dyDescent="0.25">
      <c r="A264" s="21"/>
      <c r="B264" s="22" t="s">
        <v>167</v>
      </c>
      <c r="C264" s="21"/>
      <c r="D264" s="23"/>
      <c r="E264" s="23" t="s">
        <v>166</v>
      </c>
      <c r="F264" s="23">
        <f>SUM(F242:F262)</f>
        <v>668791</v>
      </c>
    </row>
    <row r="265" spans="1:6" ht="18" customHeight="1" x14ac:dyDescent="0.25">
      <c r="A265" s="21"/>
      <c r="B265" s="22" t="s">
        <v>168</v>
      </c>
      <c r="C265" s="21"/>
      <c r="D265" s="23"/>
      <c r="E265" s="23" t="s">
        <v>166</v>
      </c>
      <c r="F265" s="23">
        <f>F264*10%</f>
        <v>66879.100000000006</v>
      </c>
    </row>
    <row r="266" spans="1:6" ht="18" customHeight="1" x14ac:dyDescent="0.25">
      <c r="D266" s="5"/>
      <c r="E266" s="5"/>
      <c r="F266" s="5"/>
    </row>
    <row r="267" spans="1:6" ht="18" customHeight="1" x14ac:dyDescent="0.25">
      <c r="A267" s="24"/>
      <c r="B267" s="25" t="s">
        <v>169</v>
      </c>
      <c r="C267" s="24"/>
      <c r="D267" s="26"/>
      <c r="E267" s="26" t="s">
        <v>166</v>
      </c>
      <c r="F267" s="26">
        <f>F264+F265</f>
        <v>735670.1</v>
      </c>
    </row>
    <row r="269" spans="1:6" x14ac:dyDescent="0.25">
      <c r="A269" s="27"/>
      <c r="B269" s="28" t="s">
        <v>170</v>
      </c>
      <c r="C269" s="27"/>
      <c r="D269" s="27"/>
      <c r="E269" s="27" t="s">
        <v>166</v>
      </c>
      <c r="F269" s="29">
        <v>735670.1</v>
      </c>
    </row>
    <row r="270" spans="1:6" x14ac:dyDescent="0.25">
      <c r="A270" s="30"/>
      <c r="B270" s="31" t="s">
        <v>171</v>
      </c>
      <c r="C270" s="30"/>
      <c r="D270" s="30"/>
      <c r="E270" s="30" t="s">
        <v>166</v>
      </c>
      <c r="F270" s="32">
        <f>F267-F269</f>
        <v>0</v>
      </c>
    </row>
  </sheetData>
  <autoFilter ref="A5:F26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BOX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luyando shilukukwa</cp:lastModifiedBy>
  <dcterms:created xsi:type="dcterms:W3CDTF">2026-06-04T17:58:39Z</dcterms:created>
  <dcterms:modified xsi:type="dcterms:W3CDTF">2026-06-04T21:40:35Z</dcterms:modified>
</cp:coreProperties>
</file>