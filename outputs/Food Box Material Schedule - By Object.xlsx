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yan\site-materials\outputs\"/>
    </mc:Choice>
  </mc:AlternateContent>
  <bookViews>
    <workbookView xWindow="0" yWindow="0" windowWidth="20490" windowHeight="8205"/>
  </bookViews>
  <sheets>
    <sheet name="FOOD BOX OBJECTS" sheetId="1" r:id="rId1"/>
  </sheets>
  <definedNames>
    <definedName name="_xlnm._FilterDatabase" localSheetId="0" hidden="1">'FOOD BOX OBJECTS'!$A$5:$F$467</definedName>
  </definedNames>
  <calcPr calcId="162913"/>
</workbook>
</file>

<file path=xl/calcChain.xml><?xml version="1.0" encoding="utf-8"?>
<calcChain xmlns="http://schemas.openxmlformats.org/spreadsheetml/2006/main">
  <c r="F400" i="1" l="1"/>
  <c r="F399" i="1"/>
  <c r="F401" i="1" s="1"/>
  <c r="F462" i="1" s="1"/>
  <c r="F394" i="1"/>
  <c r="F461" i="1" s="1"/>
  <c r="F393" i="1"/>
  <c r="F392" i="1"/>
  <c r="F386" i="1"/>
  <c r="F387" i="1" s="1"/>
  <c r="F460" i="1" s="1"/>
  <c r="F380" i="1"/>
  <c r="F379" i="1"/>
  <c r="F381" i="1" s="1"/>
  <c r="F459" i="1" s="1"/>
  <c r="F373" i="1"/>
  <c r="F458" i="1" s="1"/>
  <c r="F372" i="1"/>
  <c r="F371" i="1"/>
  <c r="F365" i="1"/>
  <c r="F366" i="1" s="1"/>
  <c r="F457" i="1" s="1"/>
  <c r="F364" i="1"/>
  <c r="F358" i="1"/>
  <c r="F359" i="1" s="1"/>
  <c r="F456" i="1" s="1"/>
  <c r="F353" i="1"/>
  <c r="F455" i="1" s="1"/>
  <c r="F352" i="1"/>
  <c r="F346" i="1"/>
  <c r="F347" i="1" s="1"/>
  <c r="F454" i="1" s="1"/>
  <c r="F341" i="1"/>
  <c r="F453" i="1" s="1"/>
  <c r="F340" i="1"/>
  <c r="F333" i="1"/>
  <c r="F334" i="1" s="1"/>
  <c r="F452" i="1" s="1"/>
  <c r="F327" i="1"/>
  <c r="F326" i="1"/>
  <c r="F325" i="1"/>
  <c r="F328" i="1" s="1"/>
  <c r="F451" i="1" s="1"/>
  <c r="F319" i="1"/>
  <c r="F318" i="1"/>
  <c r="F317" i="1"/>
  <c r="F316" i="1"/>
  <c r="F320" i="1" s="1"/>
  <c r="F450" i="1" s="1"/>
  <c r="F315" i="1"/>
  <c r="F309" i="1"/>
  <c r="F310" i="1" s="1"/>
  <c r="F449" i="1" s="1"/>
  <c r="F303" i="1"/>
  <c r="F448" i="1" s="1"/>
  <c r="F302" i="1"/>
  <c r="F296" i="1"/>
  <c r="F297" i="1" s="1"/>
  <c r="F447" i="1" s="1"/>
  <c r="F291" i="1"/>
  <c r="F446" i="1" s="1"/>
  <c r="F290" i="1"/>
  <c r="F284" i="1"/>
  <c r="F285" i="1" s="1"/>
  <c r="F445" i="1" s="1"/>
  <c r="F279" i="1"/>
  <c r="F444" i="1" s="1"/>
  <c r="F278" i="1"/>
  <c r="F277" i="1"/>
  <c r="F271" i="1"/>
  <c r="F270" i="1"/>
  <c r="F272" i="1" s="1"/>
  <c r="F443" i="1" s="1"/>
  <c r="F264" i="1"/>
  <c r="F263" i="1"/>
  <c r="F262" i="1"/>
  <c r="F265" i="1" s="1"/>
  <c r="F442" i="1" s="1"/>
  <c r="F256" i="1"/>
  <c r="F255" i="1"/>
  <c r="F254" i="1"/>
  <c r="F253" i="1"/>
  <c r="F252" i="1"/>
  <c r="F257" i="1" s="1"/>
  <c r="F441" i="1" s="1"/>
  <c r="F246" i="1"/>
  <c r="F247" i="1" s="1"/>
  <c r="F440" i="1" s="1"/>
  <c r="F240" i="1"/>
  <c r="F239" i="1"/>
  <c r="F241" i="1" s="1"/>
  <c r="F439" i="1" s="1"/>
  <c r="F233" i="1"/>
  <c r="F438" i="1" s="1"/>
  <c r="F232" i="1"/>
  <c r="F226" i="1"/>
  <c r="F227" i="1" s="1"/>
  <c r="F437" i="1" s="1"/>
  <c r="F220" i="1"/>
  <c r="F436" i="1" s="1"/>
  <c r="F219" i="1"/>
  <c r="F218" i="1"/>
  <c r="F212" i="1"/>
  <c r="F213" i="1" s="1"/>
  <c r="F435" i="1" s="1"/>
  <c r="F206" i="1"/>
  <c r="F205" i="1"/>
  <c r="F204" i="1"/>
  <c r="F207" i="1" s="1"/>
  <c r="F434" i="1" s="1"/>
  <c r="F198" i="1"/>
  <c r="F199" i="1" s="1"/>
  <c r="F433" i="1" s="1"/>
  <c r="F192" i="1"/>
  <c r="F193" i="1" s="1"/>
  <c r="F432" i="1" s="1"/>
  <c r="F186" i="1"/>
  <c r="F185" i="1"/>
  <c r="F184" i="1"/>
  <c r="F183" i="1"/>
  <c r="F187" i="1" s="1"/>
  <c r="F431" i="1" s="1"/>
  <c r="F177" i="1"/>
  <c r="F178" i="1" s="1"/>
  <c r="F430" i="1" s="1"/>
  <c r="F172" i="1"/>
  <c r="F429" i="1" s="1"/>
  <c r="F171" i="1"/>
  <c r="F165" i="1"/>
  <c r="F166" i="1" s="1"/>
  <c r="F428" i="1" s="1"/>
  <c r="F159" i="1"/>
  <c r="F427" i="1" s="1"/>
  <c r="F158" i="1"/>
  <c r="F157" i="1"/>
  <c r="F150" i="1"/>
  <c r="F151" i="1" s="1"/>
  <c r="F426" i="1" s="1"/>
  <c r="F144" i="1"/>
  <c r="F145" i="1" s="1"/>
  <c r="F425" i="1" s="1"/>
  <c r="F138" i="1"/>
  <c r="F139" i="1" s="1"/>
  <c r="F424" i="1" s="1"/>
  <c r="F132" i="1"/>
  <c r="F133" i="1" s="1"/>
  <c r="F423" i="1" s="1"/>
  <c r="F126" i="1"/>
  <c r="F127" i="1" s="1"/>
  <c r="F422" i="1" s="1"/>
  <c r="F119" i="1"/>
  <c r="F120" i="1" s="1"/>
  <c r="F421" i="1" s="1"/>
  <c r="F113" i="1"/>
  <c r="F114" i="1" s="1"/>
  <c r="F420" i="1" s="1"/>
  <c r="F112" i="1"/>
  <c r="F111" i="1"/>
  <c r="F105" i="1"/>
  <c r="F106" i="1" s="1"/>
  <c r="F419" i="1" s="1"/>
  <c r="F99" i="1"/>
  <c r="F100" i="1" s="1"/>
  <c r="F418" i="1" s="1"/>
  <c r="F93" i="1"/>
  <c r="F94" i="1" s="1"/>
  <c r="F417" i="1" s="1"/>
  <c r="F87" i="1"/>
  <c r="F88" i="1" s="1"/>
  <c r="F416" i="1" s="1"/>
  <c r="F81" i="1"/>
  <c r="F82" i="1" s="1"/>
  <c r="F415" i="1" s="1"/>
  <c r="F75" i="1"/>
  <c r="F76" i="1" s="1"/>
  <c r="F414" i="1" s="1"/>
  <c r="F69" i="1"/>
  <c r="F70" i="1" s="1"/>
  <c r="F413" i="1" s="1"/>
  <c r="F63" i="1"/>
  <c r="F64" i="1" s="1"/>
  <c r="F412" i="1" s="1"/>
  <c r="F56" i="1"/>
  <c r="F57" i="1" s="1"/>
  <c r="F411" i="1" s="1"/>
  <c r="F50" i="1"/>
  <c r="F49" i="1"/>
  <c r="F48" i="1"/>
  <c r="F47" i="1"/>
  <c r="F51" i="1" s="1"/>
  <c r="F410" i="1" s="1"/>
  <c r="F41" i="1"/>
  <c r="F40" i="1"/>
  <c r="F39" i="1"/>
  <c r="F38" i="1"/>
  <c r="F37" i="1"/>
  <c r="F36" i="1"/>
  <c r="F35" i="1"/>
  <c r="F34" i="1"/>
  <c r="F33" i="1"/>
  <c r="F42" i="1" s="1"/>
  <c r="F409" i="1" s="1"/>
  <c r="F26" i="1"/>
  <c r="F25" i="1"/>
  <c r="F24" i="1"/>
  <c r="F23" i="1"/>
  <c r="F22" i="1"/>
  <c r="F21" i="1"/>
  <c r="F20" i="1"/>
  <c r="F19" i="1"/>
  <c r="F18" i="1"/>
  <c r="F17" i="1"/>
  <c r="F16" i="1"/>
  <c r="F27" i="1" s="1"/>
  <c r="F408" i="1" s="1"/>
  <c r="F10" i="1"/>
  <c r="F407" i="1" s="1"/>
  <c r="F9" i="1"/>
  <c r="F8" i="1"/>
  <c r="F464" i="1" l="1"/>
  <c r="F465" i="1" l="1"/>
  <c r="F467" i="1" s="1"/>
  <c r="F470" i="1" s="1"/>
</calcChain>
</file>

<file path=xl/sharedStrings.xml><?xml version="1.0" encoding="utf-8"?>
<sst xmlns="http://schemas.openxmlformats.org/spreadsheetml/2006/main" count="806" uniqueCount="305">
  <si>
    <t>FOOD BOX MATERIAL SCHEDULE - ARRANGED BY OBJECT</t>
  </si>
  <si>
    <t>Project: Food Box Rehabilitation</t>
  </si>
  <si>
    <t>Source: Food Box BOQ | Grand Total VAT Exclusive: ZMW 735,670.10</t>
  </si>
  <si>
    <t>PRELIMINARY AND GENERAL ITEMS</t>
  </si>
  <si>
    <t>ITEM</t>
  </si>
  <si>
    <t>DESCRIPTION</t>
  </si>
  <si>
    <t>UNIT</t>
  </si>
  <si>
    <t>QTY</t>
  </si>
  <si>
    <t>PRICE (K)</t>
  </si>
  <si>
    <t>AMOUNT (K)</t>
  </si>
  <si>
    <t>A. Provide for the mobilization and demobilization of all necessary labour, materials, and equipment to and from the site, including all associated costs and logistics. Ensure that the project area and its surroundings are fully reinstated to their original condition prior to handover</t>
  </si>
  <si>
    <t>Item</t>
  </si>
  <si>
    <t>B. Allow for the provision of all required Personal Protective Equipment (PPE), including contractor-supplied scaffolds and ladders, and ensure full compliance with all Zambia Sugar SHEQ requirements</t>
  </si>
  <si>
    <t>Total Preliminary And General Items carried to Summary</t>
  </si>
  <si>
    <t>DEMOLITIONS</t>
  </si>
  <si>
    <t>DEMOLITIONS, REMOVALS AND ALTERATIONS</t>
  </si>
  <si>
    <t>A. Carefully remove all wooden doors along with existing mortice lock sets and handover to client</t>
  </si>
  <si>
    <t>Nr</t>
  </si>
  <si>
    <t>B. Careully remove existing window frames, door frames and barglars and handover to client</t>
  </si>
  <si>
    <t>item</t>
  </si>
  <si>
    <t>C. Carefully isolate power supply and remove all socket, Switch and light fittings together, handover to client and make good disturbed surfaces to receive new socket</t>
  </si>
  <si>
    <t>D. Carefully all shelvings , and all other floor mounted cabinets, counter tops and handover to client and prepare to receive new units</t>
  </si>
  <si>
    <t>E. Carefully remove all sanitary fittings including the double bowl sink, geyser and the like, and handover to client and prepare to receive new fittings</t>
  </si>
  <si>
    <t>F. Carefully remove existing ceiling, and handover to client and prepare to receive new specified ceiling</t>
  </si>
  <si>
    <t>G. Carefully hack out all tiles including skirting and prepare surface to receive new floor tiles</t>
  </si>
  <si>
    <t>H. Careully remove existing window frames, door frames and barglars and handover to client</t>
  </si>
  <si>
    <t>I. Carefully secure the LED screen adjacent to the structure and reinstate it to its original position</t>
  </si>
  <si>
    <t>J. Attend to builder's works to all trades e,g repairing of cracks, not measured elsewhere internally and externally as guided by the engineer.</t>
  </si>
  <si>
    <t>K. Demolish existing brick or block walls of any thickness, including breaking down, removing all debris from the site, and restoring adjoining structures as necessary. All work to be carried out as directed by the Project Manager, with disposal of waste at an authorized dump site(Chulu dump site)</t>
  </si>
  <si>
    <t>m2</t>
  </si>
  <si>
    <t>Total Demolitions, Removals And Alterations carried to Summary</t>
  </si>
  <si>
    <t>SUBSTRUCTURE</t>
  </si>
  <si>
    <t>EXCAVATIONS</t>
  </si>
  <si>
    <t>A. Excavating oversite average 150mm deep to remove top soil and disposal from site</t>
  </si>
  <si>
    <t>B. Excavate trench to receive foundations commencing at reduced level and not exceeding 1.50m deep</t>
  </si>
  <si>
    <t>m3</t>
  </si>
  <si>
    <t>C. Backfilling to foundations with materials arising from the excavations deposited and compacted in layers maximum 100mm thick</t>
  </si>
  <si>
    <t>D. Disposal of surplus excavated materials off site</t>
  </si>
  <si>
    <t>E. Compact bottom of foundation trenches</t>
  </si>
  <si>
    <t>F. Allow for planking and strutting to sides of all excavations</t>
  </si>
  <si>
    <t>G. Allow for keeping excavation free from general water</t>
  </si>
  <si>
    <t>H. Allow for removal of termite nests</t>
  </si>
  <si>
    <t>I. 15 Doidrin or equal and approved ant-termite treatment to all horizontal and vertical surfaces of excavations</t>
  </si>
  <si>
    <t>Total Excavations carried to Summary</t>
  </si>
  <si>
    <t>HARDCORE FILLING</t>
  </si>
  <si>
    <t>J. 150mm thick bed of hardcore laid level and well compacted to AASHO MOD 98%</t>
  </si>
  <si>
    <t>K. 50mm thick sand blinding on top of hardcore</t>
  </si>
  <si>
    <t>L. Ditto: on foundation surfaces</t>
  </si>
  <si>
    <t>M. 15 Doidrin or equal and approved ant-termite treatment to the surface of the hardcore filling</t>
  </si>
  <si>
    <t>Total Hardcore Filling carried to Summary</t>
  </si>
  <si>
    <t>DAMP PROOFING</t>
  </si>
  <si>
    <t>N. 500g polythene membrane laid on sand blinding (measured net)</t>
  </si>
  <si>
    <t>Total Damp Proofing carried to Summary</t>
  </si>
  <si>
    <t>CONCRETE WORK</t>
  </si>
  <si>
    <t>AS DESCRIBED</t>
  </si>
  <si>
    <t>O. 100mm thick slab laid level</t>
  </si>
  <si>
    <t>Total As Described carried to Summary</t>
  </si>
  <si>
    <t>PLAIN IN-SITU CONCRETE 1:3:6 AS DESCRIBED</t>
  </si>
  <si>
    <t>P. Concrete in trench foundations</t>
  </si>
  <si>
    <t>Total Plain In-Situ Concrete 1:3:6 As Described carried to Summary</t>
  </si>
  <si>
    <t>REINFORCEMENT</t>
  </si>
  <si>
    <t>A. One layer of conforce '86' or other equal and approved fabric reinforcement in concrete bed with minimum laps of 150mm (no allowance made for laps)</t>
  </si>
  <si>
    <t>Total Reinforcement carried to Summary</t>
  </si>
  <si>
    <t>SAWN FORMWORK AS DESCRIBED ON THE FOLLOWING:</t>
  </si>
  <si>
    <t>B. Edges of floor slab not exceeding 100mm high</t>
  </si>
  <si>
    <t>m</t>
  </si>
  <si>
    <t>Total Sawn Formwork As Described On The Following: carried to Summary</t>
  </si>
  <si>
    <t>(1:4) AS DESCRIBED</t>
  </si>
  <si>
    <t>C. 200mm thick (nominal) solid blockwall</t>
  </si>
  <si>
    <t>Total (1:4) As Described carried to Summary</t>
  </si>
  <si>
    <t>BRICKFORCE REINFORCEMENTEVERY SECOND COURSE</t>
  </si>
  <si>
    <t>D. 2M built in between 200mm thick blockwork every second course</t>
  </si>
  <si>
    <t>Total Brickforce Reinforcementevery Second Course carried to Summary</t>
  </si>
  <si>
    <t>18MM THICK PLASTER IN CEMENT SAND (1:4) FINISHED WITH A WOOD FLOAT AS DESCRIBED</t>
  </si>
  <si>
    <t>E. Blockwalls of plinth</t>
  </si>
  <si>
    <t>Total 18Mm Thick Plaster In Cement Sand (1:4) Finished With A Wood Float As Described carried to Summary</t>
  </si>
  <si>
    <t>PREPARE AND APPLY ONE UNDERCOAT AND TWO COATS WATER PROOF BITUMINOUS PAINT ON THE FOLLOWING:-</t>
  </si>
  <si>
    <t>F. Plastered walls of plinth</t>
  </si>
  <si>
    <t>Total Prepare And Apply One Undercoat And Two Coats Water Proof Bituminous Paint On The Following:- carried to Summary</t>
  </si>
  <si>
    <t>DESCRIBED</t>
  </si>
  <si>
    <t>A. Ring beam and lintels</t>
  </si>
  <si>
    <t>C. 8mm diameter High yield steel bars</t>
  </si>
  <si>
    <t>kg</t>
  </si>
  <si>
    <t>D. 12mm diameter high yield steel bars</t>
  </si>
  <si>
    <t>Total Described carried to Summary</t>
  </si>
  <si>
    <t>SAWN FORMWORK</t>
  </si>
  <si>
    <t>B. To sides and soffits of lintels</t>
  </si>
  <si>
    <t>Total Sawn Formwork carried to Summary</t>
  </si>
  <si>
    <t>BLOCKWORK AND BRICKWORK</t>
  </si>
  <si>
    <t>(1:4) AS DESCRIBED:</t>
  </si>
  <si>
    <t>A. 150mm thick hollow blockwall</t>
  </si>
  <si>
    <t>Total (1:4) As Described: carried to Summary</t>
  </si>
  <si>
    <t>WINDOW SILL</t>
  </si>
  <si>
    <t>B. Brick on edge window sill in cement mortar 1:4</t>
  </si>
  <si>
    <t>Total Window Sill carried to Summary</t>
  </si>
  <si>
    <t>BRICKFORCE REINFORCEMENT EVERY THIRD COURSE</t>
  </si>
  <si>
    <t>C. 1.5M brickforce built in 200mm thick blockwork every third course</t>
  </si>
  <si>
    <t>Total Brickforce Reinforcement Every Third Course carried to Summary</t>
  </si>
  <si>
    <t>D. To 150mm blockwall</t>
  </si>
  <si>
    <t>SUNDRIES</t>
  </si>
  <si>
    <t>E. 200 x 200mm square hole pattern UPVC air brick with insect proof gauze at back and built into wall including making hole size 200 x 200mm through 200mm blockwalls and making good finishing around</t>
  </si>
  <si>
    <t>Total Sundries carried to Summary</t>
  </si>
  <si>
    <t>ROOFING</t>
  </si>
  <si>
    <t>0.5MM THICK TRAFFIC GREEN IBR/IT4 PRE-PAINTED ROOF SHEETING AND FIXING IN ACCORDANCE WITH MANUFACTURER'S INSTRUCTIONS (MEASURED NET - NO ALLOWANCE MADE FOR LAPS)</t>
  </si>
  <si>
    <t>A. Roof sheets fixed to timber trusses (measured separately)</t>
  </si>
  <si>
    <t>B. Cranked ridge capping</t>
  </si>
  <si>
    <t>Total 0.5Mm Thick Traffic Green Ibr/It4 Pre-Painted Roof Sheeting And Fixing In Accordance With Manufacturer'S Instructions (Measured Net - No Allowance Made For Laps) carried to Summary</t>
  </si>
  <si>
    <t>CARPENTRY, JOINERY AND IRONMONGERY</t>
  </si>
  <si>
    <t>CEILING</t>
  </si>
  <si>
    <t>A. 8mm thikc particle board nailed onto 50mm x 50mm softwood branderng at 600mm centers complete with cover strips and cover cornices (brandering measured seperately)</t>
  </si>
  <si>
    <t>Total Ceiling carried to Summary</t>
  </si>
  <si>
    <t>EXTERIOR QUALITY MUKWA HARDWOOD DOOR WITH ENGRAVINGS SUITABLE FOR VARNISHING</t>
  </si>
  <si>
    <t>B. 44mm (finished) door size 825 x 1960mm hung on butts to metal frame (measured separately)</t>
  </si>
  <si>
    <t>Total Exterior Quality Mukwa Hardwood Door With Engravings Suitable For Varnishing carried to Summary</t>
  </si>
  <si>
    <t>FASCIA AND BARGE BOARDS AS DESCRIBED</t>
  </si>
  <si>
    <t>C. 225 x 25mm wrot softwood to rafters</t>
  </si>
  <si>
    <t>Total Fascia And Barge Boards As Described carried to Summary</t>
  </si>
  <si>
    <t>CREOSOTED AS DESCRIBED:-</t>
  </si>
  <si>
    <t>D. 150 x 50mm raftres, ceiling joists, struts and ties</t>
  </si>
  <si>
    <t>E. 100 x 50mm wall plate</t>
  </si>
  <si>
    <t>F. 75 x 50mm purlins</t>
  </si>
  <si>
    <t>G. 50 x 50mm brandering</t>
  </si>
  <si>
    <t>Total Creosoted As Described:- carried to Summary</t>
  </si>
  <si>
    <t>IRONMONGERY</t>
  </si>
  <si>
    <t>H. Two lever mortice lock with chromium plated finished for-end and set of chromium plated finished lever handle furniture fixed to door</t>
  </si>
  <si>
    <t>Total Ironmongery carried to Summary</t>
  </si>
  <si>
    <t>KITCHEN UNIT</t>
  </si>
  <si>
    <t>I. Supply and install high gloss white modular kitchen units with carcases made from durable MDF board, including base cabinets, wall-mounted cabinets, and drawer units. Units to be complete with soft-close hinges, handles, and all necessary fittings. Provide and install polished 30mm thick black granite countertops, including precision cutouts for appliances and sinks, securely fixed using appropriate adhesives and sealants. The work includes the installation of integrated appliances, completion of all required plumbing and electrical connections, and ensuring all surfaces are aligned, polished, and finished to a high standard. Include all fasteners, brackets, trims, and sealants, with final testing and adjustments to meet the approved design and specifications.(to include the counter top for the point of sale)</t>
  </si>
  <si>
    <t>Total Kitchen Unit carried to Summary</t>
  </si>
  <si>
    <t>SHELVING</t>
  </si>
  <si>
    <t>J. Supply and install heavy-duty steel kitchen shelving brackets, L-shaped design with reinforced ribs, powder-coated finish for corrosion resistance, size approximately 300 mm x 300 mm (or as specified), capable of supporting 20–50 kg per bracket. Complete with pre-drilled holes, screws, and wall plugs for secure fixing.</t>
  </si>
  <si>
    <t>K. 18mm thick blockboards shelving suitable for painting</t>
  </si>
  <si>
    <t>L. 12x12mm wrot hardwood lipping glued and pinned to edges of the shelves</t>
  </si>
  <si>
    <t>Total Shelving carried to Summary</t>
  </si>
  <si>
    <t>BLINDS</t>
  </si>
  <si>
    <t>A. Supply and install high-quality roller blinds for windows, made from durable fabric with UV protection, complete with aluminum top rail, chain control mechanism, and all necessary brackets and fittings. Blinds to be custom-fitted to window size.</t>
  </si>
  <si>
    <t>Total Blinds carried to Summary</t>
  </si>
  <si>
    <t>B. 38mm diameter rubber door stop plugged and screwed to floors</t>
  </si>
  <si>
    <t>C. Supply and install Aluminium under door seal</t>
  </si>
  <si>
    <t>METALWORK</t>
  </si>
  <si>
    <t>"ZAM 100" SINGLE REBATE PRESSED STEEL DOOR FRAME AS MANUFACTURED BY MONARCH LIMITED OR OTHER EQUAL AND APPROVED INCLUDING ONE PAIR OF BUTT HINGES WELDED ON ADJUSTABLE STRIKER PLATE AND RUBBER BUFFERS PRIMED WITH ONE COAT OR RED LEAD BEFORE DELIVERY</t>
  </si>
  <si>
    <t>A. Type 1.5 M, nominal size 900 x 2000mm</t>
  </si>
  <si>
    <t>Total "Zam 100" Single Rebate Pressed Steel Door Frame As Manufactured By Monarch Limited Or Other Equal And Approved Including One Pair Of Butt Hinges Welded On Adjustable Striker Plate And Rubber Buffers Primed With One Coat Or Red Lead Before Delivery carried to Summary</t>
  </si>
  <si>
    <t>ALUMINIUM WINDOWS, IN NUKLIP CASEMENT SYSTEMS POWDER COATED COMPLETE WITH ALL REQUIRED IRONMONGERY OPERATING GEAR, GLAZING WITH 6MM CLEAR LAMINATED GLASS AND BEADS ALL ROUND AND BUILDING IN BRICKWORK/BLOCK WITH NON-CORROSIVE ALUMINIUM LUGS, INCLUDING CUTTING AND PINNING LUGS SPPORTS AND BEDDING AND POINTING IN CEMENT AND SAND MORTAR (1:4) AS DESCRIBED WITH BURGLAR BARS</t>
  </si>
  <si>
    <t>B. Window overall size 2000 width x 1000mm high</t>
  </si>
  <si>
    <t>Total Aluminium Windows, In Nuklip Casement Systems Powder Coated Complete With All Required Ironmongery Operating Gear, Glazing With 6Mm Clear Laminated Glass And Beads All Round And Building In Brickwork/Block With Non-Corrosive Aluminium Lugs, Including Cutting And Pinning Lugs Spports And Bedding And Pointing In Cement And Sand Mortar (1:4) As Described With Burglar Bars carried to Summary</t>
  </si>
  <si>
    <t>PLUMBING</t>
  </si>
  <si>
    <t>CHLORINATED POLYVINYL CHLORIDE (CPVC) PIPES AND FITTINGS IN ACCORDANCE WITH ASTM D1785 OR EQUAL AND APPROVED IN:</t>
  </si>
  <si>
    <t>A. 19mm diameter pipes</t>
  </si>
  <si>
    <t>B. 13mm diameter pipes</t>
  </si>
  <si>
    <t>Total Chlorinated Polyvinyl Chloride (Cpvc) Pipes And Fittings In Accordance With Astm D1785 Or Equal And Approved In: carried to Summary</t>
  </si>
  <si>
    <t>100 LITRES CAPACITY WALL MOUNTED LOW PRESSURE TYPE (SANS 151)</t>
  </si>
  <si>
    <t>water heater with 19mm diametre inlet and outlet, monarch type</t>
  </si>
  <si>
    <t>Total 100 Litres Capacity Wall Mounted Low Pressure Type (Sans 151) carried to Summary</t>
  </si>
  <si>
    <t>BRASS WORK AND SUNDRIES</t>
  </si>
  <si>
    <t>D. 19mm diameter brass screw down stop valve with capstan head and joints to 19mm diameter pipe</t>
  </si>
  <si>
    <t>E. 13mm diameter brass screw down stop valve with capstan head and joints to 13mm diameter pipe</t>
  </si>
  <si>
    <t>F. 13mm diameter copper connector, 300mm girth bent as required with joint to union of fitting and other galvanised mild steel and uPVC pipes</t>
  </si>
  <si>
    <t>G. Cobra water tech 19mm swivel type chromium plated sink mixer</t>
  </si>
  <si>
    <t>H. Allow for all the plumbing fittings(extra over pieces)</t>
  </si>
  <si>
    <t>Total Brass Work And Sundries carried to Summary</t>
  </si>
  <si>
    <t>U.P.V.C PIPES AND FITTINGS TO B.S 4514</t>
  </si>
  <si>
    <t>J. 110 mm diameter waste pipe</t>
  </si>
  <si>
    <t>K. 50mm diameter waste pipe</t>
  </si>
  <si>
    <t>L. Allow for all the plumbing fittings(extra over pipes)</t>
  </si>
  <si>
    <t>Total U.P.V.C Pipes And Fittings To B.S 4514 carried to Summary</t>
  </si>
  <si>
    <t>SUPPLY DELIVER AND FIX FLOOR DRAIN</t>
  </si>
  <si>
    <t>M. RO 200 SV NW 100 under floor drain complete with 50mm diameter 'P' trap and 110mm diameter tail piece with and including coated cast iron grating including surrounding, fixed to UPVC drain pipes, etc.</t>
  </si>
  <si>
    <t>A. 110mm diameter Gulley 'P' trap with and including coated cast iron grating including surrounding, with 150mm thick built up wall on all four sides of the gully trap, rendering in c : m 1 :3 , concealed with concrete cover slab , thickness 100mm with medium duty manhole cover including all excavation and disposal as described fixed to UPVC drain pipes</t>
  </si>
  <si>
    <t>Total Supply Deliver And Fix Floor Drain carried to Summary</t>
  </si>
  <si>
    <t>SANITARY FITTINGS</t>
  </si>
  <si>
    <t>B. Armitage shanks vitreous china wash hand basin with 32mm chromium plated outlet, plugs, chain and pair of 13mm "Cobra" water tech" pillar taps the whole neatly fixed on the granite counter top.</t>
  </si>
  <si>
    <t>C. Standard double bowl stainless steel sink complete with 32mm waste, plug, chain and 13mm sink mixer the whole mounted to floor and wall(sink mixture measured separately)</t>
  </si>
  <si>
    <t>Total Sanitary Fittings carried to Summary</t>
  </si>
  <si>
    <t>CHRONINATION</t>
  </si>
  <si>
    <t>D. Include for sterilization of entire of the water system to Architects satisfaction</t>
  </si>
  <si>
    <t>Total Chronination carried to Summary</t>
  </si>
  <si>
    <t>TESTING</t>
  </si>
  <si>
    <t>E. Including for testing the whole of the plumbing installation on completion by means of a pressure test to one and a half times the working pressure</t>
  </si>
  <si>
    <t>Total Testing carried to Summary</t>
  </si>
  <si>
    <t>BUILDERS WORK</t>
  </si>
  <si>
    <t>F. Hole through 200mm blockwall for small pipes and make good</t>
  </si>
  <si>
    <t>Total Builders Work carried to Summary</t>
  </si>
  <si>
    <t>MANHOLES CONSTRUCTED AS DESCRIBED</t>
  </si>
  <si>
    <t>G. 700W x 700L x 5000mm deep Manhole complete with and including 457 x 457mm concrete Manhole Cover; complete with surrounding in 150mm thick built up solid wall on all four sides, 20mm rendering in C : M 1:3; concrete haunching cover slab finished with angles including rebated opening for manhole cover; all necessary excavation, backfill and disposal</t>
  </si>
  <si>
    <t>Total Manholes Constructed As Described carried to Summary</t>
  </si>
  <si>
    <t>ELECTRICAL INSTALLATION</t>
  </si>
  <si>
    <t>SUPPLY, DELIVER, INSTALL, CONNECT AND SET TO WORK CONDUITS FOR LIGHTS, SWITCHES, SOCKET OUTLETS, POWER POINTS AND ELECTRICAL FITTINGS, INCLUDING CABLING, CABLE GLANDS, JUNCTION BOXES, DRAW WIRES, SWITCH AND SOCKET OUTLET BOXES AND ALL ACCESSORIES AS:</t>
  </si>
  <si>
    <t>A. 12 Way TPN, Flush type lockable, white in colour, Districution Board consisting of:</t>
  </si>
  <si>
    <t>Total Supply, Deliver, Install, Connect And Set To Work Conduits For Lights, Switches, Socket Outlets, Power Points And Electrical Fittings, Including Cabling, Cable Glands, Junction Boxes, Draw Wires, Switch And Socket Outlet Boxes And All Accessories As: carried to Summary</t>
  </si>
  <si>
    <t>SUPPLY, INSTALL,CONNECT AND SET TO WORK ALL TRAYS, CONDUIT, CONDUIT FITTINGS, BOXES, LAMP HOLDERS, SWITCHES AND WIRING TO CONNECT TO THE FOLLOWING LIGHT POINTS WITH 1.5 MM2 CABLES:</t>
  </si>
  <si>
    <t>B. 2 x 36W Ceiling mounted batten fluorescent light fitting 1200 mm long as 111/136/SS</t>
  </si>
  <si>
    <t>C. 1 x 36W Ceiling, wall or roof mounted batten fluorescent light fitting 1200 mm long as 111/136/SS</t>
  </si>
  <si>
    <t>D. 1 x 36W wall mounted batten fluorescent light fitting 1200 mm long as 111/136/SS</t>
  </si>
  <si>
    <t>E. One gang one way wall switch (MK or simillar)</t>
  </si>
  <si>
    <t>F. Two gang one way wall switch (MK or simillar)</t>
  </si>
  <si>
    <t>Total Supply, Install,Connect And Set To Work All Trays, Conduit, Conduit Fittings, Boxes, Lamp Holders, Switches And Wiring To Connect To The Following Light Points With 1.5 Mm2 Cables: carried to Summary</t>
  </si>
  <si>
    <t>SUPPLY INSTALL AND SET TO WORK THE FOLLOWING SOCKETS, COOKER AND GEYSER POWER POINTS INCLUDING ALL CONDUIT FITTINGS, AND CABLES TO CONNET THE POWER POINTS WITH AND INCLUDING FITTINGS TO DISTRIBUTION BOARD WITH 2.5MM2 AND 6MM2 CABLES</t>
  </si>
  <si>
    <t>A. 13 Amps Double socket outlet (MK or simillar)</t>
  </si>
  <si>
    <t>B. 6 x 6 cooker control unit with pilot lamps (MK or simillar)</t>
  </si>
  <si>
    <t>C. 20A geyser Switch with pilot lamp (MK or simillar)</t>
  </si>
  <si>
    <t>Total Supply Install And Set To Work The Following Sockets, Cooker And Geyser Power Points Including All Conduit Fittings, And Cables To Connet The Power Points With And Including Fittings To Distribution Board With 2.5Mm2 And 6Mm2 Cables carried to Summary</t>
  </si>
  <si>
    <t>EXTRACTION HOOD/CANOPY</t>
  </si>
  <si>
    <t>D. Supply, deliver, install, and commission a commercial-grade stainless steel kitchen extraction hood complete with ducting, fan, and accessories. Technical Specifications: - Material: Food-grade stainless steel (SS304), 1.0 mm thickness, polished finish. - Dimensions: 1200 mm – 1500 mm wide, 600 mm deep, 450 mm high. - Filters: Stainless steel baffle-type grease filters, removable and washable. - Airflow Capacity: 800–1500 m³/hr. - Fan/Blower: Heavy-duty centrifugal fan, motor IP55 rated, low noise (65 dB), vibration isolators included. - Ducting: Galvanized steel ductwork with bends, supports, and airtight joints. - Lighting: Integrated LED lights (minimum 2 x 5W). - Electrical: Complete wiring from isolator to fan motor, including control switch. - Accessories: Drip trays, condensate drain, and mounting brackets. - Compliance: Conforms to local health and safety standards for commercial kitchens. - Installation: Includes all fixings, supports, sealing, and testing. - Testing &amp; Commissioning: Verify airflow, noise level, and safe operation.</t>
  </si>
  <si>
    <t>Total Extraction Hood/Canopy carried to Summary</t>
  </si>
  <si>
    <t>FLOOR AND WALL FINISHINGS</t>
  </si>
  <si>
    <t>CEMENT AND SAND (1:3) BACKING FINISHED TO RECEIVE CERAMIC FLOOR AS DESCRIBED</t>
  </si>
  <si>
    <t>A. 40mm thick bed laid level on concrete bed</t>
  </si>
  <si>
    <t>Total Cement And Sand (1:3) Backing Finished To Receive Ceramic Floor As Described carried to Summary</t>
  </si>
  <si>
    <t>600 X 600 X 10 MM PORCELAIN TILES GLAZED COLOURED FLOOR TILES OR OTHER EQUAL AND APPROVED TILES FIXED WITH APPROVED ADHESIVE WITH 2MM JOINTS AND POINTED IN GROUT AS PER ARCHITECT'S CHOICE TO ALL JOINTS AS DESCRIBED</t>
  </si>
  <si>
    <t>B. To floor areas</t>
  </si>
  <si>
    <t>Total 600 X 600 X 10 Mm Porcelain Tiles Glazed Coloured Floor Tiles Or Other Equal And Approved Tiles Fixed With Approved Adhesive With 2Mm Joints And Pointed In Grout As Per Architect'S Choice To All Joints As Described carried to Summary</t>
  </si>
  <si>
    <t>SKIRTING</t>
  </si>
  <si>
    <t>C. To all general areas</t>
  </si>
  <si>
    <t>Total Skirting carried to Summary</t>
  </si>
  <si>
    <t>300 X 600 X 10 MM PORCELAIN TILES GLAZED COLOURED WALL TILES OR OTHER EQUAL AND APPROVED TILES FIXED WITH APPROVED ADHESIVE WITH 2MM JOINTS AND POINTED IN GROUT AS PER ARCHITECT'S CHOICE TO ALL JOINTS AS DESCRIBED</t>
  </si>
  <si>
    <t>D. To the kitchen walls</t>
  </si>
  <si>
    <t>Total 300 X 600 X 10 Mm Porcelain Tiles Glazed Coloured Wall Tiles Or Other Equal And Approved Tiles Fixed With Approved Adhesive With 2Mm Joints And Pointed In Grout As Per Architect'S Choice To All Joints As Described carried to Summary</t>
  </si>
  <si>
    <t>RENDER; CEMENT AND SAND (1:4); WOOD FLOATED PLASTER; EXTERNALLY</t>
  </si>
  <si>
    <t>F. 20mm coat to block walls surfaces</t>
  </si>
  <si>
    <t>G. 20 mm render to small widths and reveals, girth 100mm to 200mm wide externally</t>
  </si>
  <si>
    <t>Total Render; Cement And Sand (1:4); Wood Floated Plaster; Externally carried to Summary</t>
  </si>
  <si>
    <t>RENDER; CEMENT AND SAND (1:4); WOOD FLOATED PLASTER; INTERNALLY</t>
  </si>
  <si>
    <t>I. 20mm coat to block walls surfaces</t>
  </si>
  <si>
    <t>J. 20 mm render to small widths and reveals, girth 100mm to 200mm wide internally</t>
  </si>
  <si>
    <t>Total Render; Cement And Sand (1:4); Wood Floated Plaster; Internally carried to Summary</t>
  </si>
  <si>
    <t>PAINTING AND DECORATING</t>
  </si>
  <si>
    <t>PREPARE WALL SURFACES BY CLEANING AND REPAIRING IMPERFECTIONS, APPLY A SKIM COAT TO ACHIEVE A SMOOTH FINISH, FOLLOWED BY ONE COAT OF APPROVED UNDERCOAT AND TWO COATS OF WASHABLE PLASCON DOUBLE VELVET PREMIUM QUALITY VELVET SHEEN WALL PAINT OR CLIENT-APPROVED EQUIVALENT, COMPLETE WITH ALL NECESSARY MATERIALS, LABOR, AND EQUIPMENT FOR A UNIFORM AND DURABLE FINISH.</t>
  </si>
  <si>
    <t>A. To plastered walls</t>
  </si>
  <si>
    <t>B. Ditto exceeding 100mm but not exceeding 200mm wide</t>
  </si>
  <si>
    <t>Total Prepare Wall Surfaces By Cleaning And Repairing Imperfections, Apply A Skim Coat To Achieve A Smooth Finish, Followed By One Coat Of Approved Undercoat And Two Coats Of Washable Plascon Double Velvet Premium Quality Velvet Sheen Wall Paint Or Client-Approved Equivalent, Complete With All Necessary Materials, Labor, And Equipment For A Uniform And Durable Finish. carried to Summary</t>
  </si>
  <si>
    <t>OF PVA EMULSION PAINT ON THE FOLLOWING</t>
  </si>
  <si>
    <t>C. To ceiling borad surfaces</t>
  </si>
  <si>
    <t>Total Of Pva Emulsion Paint On The Following carried to Summary</t>
  </si>
  <si>
    <t>PREPARE AND APPLY ONE UNDERCOAT AND THREE COATS OF PLASCON ACRYLIC MATT PAINT ON THE FOLLOWING</t>
  </si>
  <si>
    <t>D. Plastered walls</t>
  </si>
  <si>
    <t>E. Ditto exceeding 100mm not exceeding 200mm wide</t>
  </si>
  <si>
    <t>Total Prepare And Apply One Undercoat And Three Coats Of Plascon Acrylic Matt Paint On The Following carried to Summary</t>
  </si>
  <si>
    <t>TOUCH UP MANUFACTURERS' PRIMER AND APPLY TWO COATS OF OIL GLOSS PAINT ON THE FOLLOWING:</t>
  </si>
  <si>
    <t>F. Door frame surfaces</t>
  </si>
  <si>
    <t>G. Fascia board surfaces</t>
  </si>
  <si>
    <t>Total Touch Up Manufacturers' Primer And Apply Two Coats Of Oil Gloss Paint On The Following: carried to Summary</t>
  </si>
  <si>
    <t>SUMMARY BY OBJECT</t>
  </si>
  <si>
    <t>PRELIMINARY AND GENERAL ITEMS - PRELIMINARY AND GENERAL ITEMS</t>
  </si>
  <si>
    <t>K</t>
  </si>
  <si>
    <t>DEMOLITIONS - DEMOLITIONS, REMOVALS AND ALTERATIONS</t>
  </si>
  <si>
    <t>SUBSTRUCTURE - EXCAVATIONS</t>
  </si>
  <si>
    <t>SUBSTRUCTURE - HARDCORE FILLING</t>
  </si>
  <si>
    <t>SUBSTRUCTURE - DAMP PROOFING</t>
  </si>
  <si>
    <t>CONCRETE WORK - AS DESCRIBED</t>
  </si>
  <si>
    <t>CONCRETE WORK - PLAIN IN-SITU CONCRETE 1:3:6 AS DESCRIBED</t>
  </si>
  <si>
    <t>CONCRETE WORK - REINFORCEMENT</t>
  </si>
  <si>
    <t>CONCRETE WORK - SAWN FORMWORK AS DESCRIBED ON THE FOLLOWING:</t>
  </si>
  <si>
    <t>CONCRETE WORK - (1:4) AS DESCRIBED</t>
  </si>
  <si>
    <t>CONCRETE WORK - BRICKFORCE REINFORCEMENTEVERY SECOND COURSE</t>
  </si>
  <si>
    <t>CONCRETE WORK - 18MM THICK PLASTER IN CEMENT SAND (1:4) FINISHED WITH A WOOD FLOAT AS DESCRIBED</t>
  </si>
  <si>
    <t>CONCRETE WORK - PREPARE AND APPLY ONE UNDERCOAT AND TWO COATS WATER PROOF BITUMINOUS PAINT ON THE FOLLOWING:-</t>
  </si>
  <si>
    <t>CONCRETE WORK - DESCRIBED</t>
  </si>
  <si>
    <t>CONCRETE WORK - SAWN FORMWORK</t>
  </si>
  <si>
    <t>BLOCKWORK AND BRICKWORK - (1:4) AS DESCRIBED:</t>
  </si>
  <si>
    <t>BLOCKWORK AND BRICKWORK - WINDOW SILL</t>
  </si>
  <si>
    <t>BLOCKWORK AND BRICKWORK - BRICKFORCE REINFORCEMENT EVERY THIRD COURSE</t>
  </si>
  <si>
    <t>BLOCKWORK AND BRICKWORK - DESCRIBED</t>
  </si>
  <si>
    <t>BLOCKWORK AND BRICKWORK - SUNDRIES</t>
  </si>
  <si>
    <t>ROOFING - 0.5MM THICK TRAFFIC GREEN IBR/IT4 PRE-PAINTED ROOF SHEETING AND FIXING IN ACCORDANCE WITH MANUFACTURER'S INSTRUCTIONS (MEASURED NET - NO ALLOWANCE MADE FOR LAPS)</t>
  </si>
  <si>
    <t>CARPENTRY, JOINERY AND IRONMONGERY - CEILING</t>
  </si>
  <si>
    <t>CARPENTRY, JOINERY AND IRONMONGERY - EXTERIOR QUALITY MUKWA HARDWOOD DOOR WITH ENGRAVINGS SUITABLE FOR VARNISHING</t>
  </si>
  <si>
    <t>CARPENTRY, JOINERY AND IRONMONGERY - FASCIA AND BARGE BOARDS AS DESCRIBED</t>
  </si>
  <si>
    <t>CARPENTRY, JOINERY AND IRONMONGERY - CREOSOTED AS DESCRIBED:-</t>
  </si>
  <si>
    <t>CARPENTRY, JOINERY AND IRONMONGERY - IRONMONGERY</t>
  </si>
  <si>
    <t>CARPENTRY, JOINERY AND IRONMONGERY - KITCHEN UNIT</t>
  </si>
  <si>
    <t>CARPENTRY, JOINERY AND IRONMONGERY - SHELVING</t>
  </si>
  <si>
    <t>CARPENTRY, JOINERY AND IRONMONGERY - BLINDS</t>
  </si>
  <si>
    <t>CARPENTRY, JOINERY AND IRONMONGERY - SUNDRIES</t>
  </si>
  <si>
    <t>METALWORK - "ZAM 100" SINGLE REBATE PRESSED STEEL DOOR FRAME AS MANUFACTURED BY MONARCH LIMITED OR OTHER EQUAL AND APPROVED INCLUDING ONE PAIR OF BUTT HINGES WELDED ON ADJUSTABLE STRIKER PLATE AND RUBBER BUFFERS PRIMED WITH ONE COAT OR RED LEAD BEFORE DELIVERY</t>
  </si>
  <si>
    <t>METALWORK - ALUMINIUM WINDOWS, IN NUKLIP CASEMENT SYSTEMS POWDER COATED COMPLETE WITH ALL REQUIRED IRONMONGERY OPERATING GEAR, GLAZING WITH 6MM CLEAR LAMINATED GLASS AND BEADS ALL ROUND AND BUILDING IN BRICKWORK/BLOCK WITH NON-CORROSIVE ALUMINIUM LUGS, INCLUDING CUTTING AND PINNING LUGS SPPORTS AND BEDDING AND POINTING IN CEMENT AND SAND MORTAR (1:4) AS DESCRIBED WITH BURGLAR BARS</t>
  </si>
  <si>
    <t>PLUMBING - CHLORINATED POLYVINYL CHLORIDE (CPVC) PIPES AND FITTINGS IN ACCORDANCE WITH ASTM D1785 OR EQUAL AND APPROVED IN:</t>
  </si>
  <si>
    <t>PLUMBING - 100 LITRES CAPACITY WALL MOUNTED LOW PRESSURE TYPE (SANS 151)</t>
  </si>
  <si>
    <t>PLUMBING - BRASS WORK AND SUNDRIES</t>
  </si>
  <si>
    <t>PLUMBING - U.P.V.C PIPES AND FITTINGS TO B.S 4514</t>
  </si>
  <si>
    <t>PLUMBING - SUPPLY DELIVER AND FIX FLOOR DRAIN</t>
  </si>
  <si>
    <t>PLUMBING - SANITARY FITTINGS</t>
  </si>
  <si>
    <t>PLUMBING - CHRONINATION</t>
  </si>
  <si>
    <t>PLUMBING - TESTING</t>
  </si>
  <si>
    <t>PLUMBING - BUILDERS WORK</t>
  </si>
  <si>
    <t>PLUMBING - MANHOLES CONSTRUCTED AS DESCRIBED</t>
  </si>
  <si>
    <t>ELECTRICAL INSTALLATION - SUPPLY, DELIVER, INSTALL, CONNECT AND SET TO WORK CONDUITS FOR LIGHTS, SWITCHES, SOCKET OUTLETS, POWER POINTS AND ELECTRICAL FITTINGS, INCLUDING CABLING, CABLE GLANDS, JUNCTION BOXES, DRAW WIRES, SWITCH AND SOCKET OUTLET BOXES AND ALL ACCESSORIES AS:</t>
  </si>
  <si>
    <t>ELECTRICAL INSTALLATION - SUPPLY, INSTALL,CONNECT AND SET TO WORK ALL TRAYS, CONDUIT, CONDUIT FITTINGS, BOXES, LAMP HOLDERS, SWITCHES AND WIRING TO CONNECT TO THE FOLLOWING LIGHT POINTS WITH 1.5 MM2 CABLES:</t>
  </si>
  <si>
    <t>ELECTRICAL INSTALLATION - SUPPLY INSTALL AND SET TO WORK THE FOLLOWING SOCKETS, COOKER AND GEYSER POWER POINTS INCLUDING ALL CONDUIT FITTINGS, AND CABLES TO CONNET THE POWER POINTS WITH AND INCLUDING FITTINGS TO DISTRIBUTION BOARD WITH 2.5MM2 AND 6MM2 CABLES</t>
  </si>
  <si>
    <t>ELECTRICAL INSTALLATION - EXTRACTION HOOD/CANOPY</t>
  </si>
  <si>
    <t>FLOOR AND WALL FINISHINGS - CEMENT AND SAND (1:3) BACKING FINISHED TO RECEIVE CERAMIC FLOOR AS DESCRIBED</t>
  </si>
  <si>
    <t>FLOOR AND WALL FINISHINGS - 600 X 600 X 10 MM PORCELAIN TILES GLAZED COLOURED FLOOR TILES OR OTHER EQUAL AND APPROVED TILES FIXED WITH APPROVED ADHESIVE WITH 2MM JOINTS AND POINTED IN GROUT AS PER ARCHITECT'S CHOICE TO ALL JOINTS AS DESCRIBED</t>
  </si>
  <si>
    <t>FLOOR AND WALL FINISHINGS - SKIRTING</t>
  </si>
  <si>
    <t>FLOOR AND WALL FINISHINGS - 300 X 600 X 10 MM PORCELAIN TILES GLAZED COLOURED WALL TILES OR OTHER EQUAL AND APPROVED TILES FIXED WITH APPROVED ADHESIVE WITH 2MM JOINTS AND POINTED IN GROUT AS PER ARCHITECT'S CHOICE TO ALL JOINTS AS DESCRIBED</t>
  </si>
  <si>
    <t>FLOOR AND WALL FINISHINGS - RENDER; CEMENT AND SAND (1:4); WOOD FLOATED PLASTER; EXTERNALLY</t>
  </si>
  <si>
    <t>FLOOR AND WALL FINISHINGS - RENDER; CEMENT AND SAND (1:4); WOOD FLOATED PLASTER; INTERNALLY</t>
  </si>
  <si>
    <t>PAINTING AND DECORATING - PREPARE WALL SURFACES BY CLEANING AND REPAIRING IMPERFECTIONS, APPLY A SKIM COAT TO ACHIEVE A SMOOTH FINISH, FOLLOWED BY ONE COAT OF APPROVED UNDERCOAT AND TWO COATS OF WASHABLE PLASCON DOUBLE VELVET PREMIUM QUALITY VELVET SHEEN WALL PAINT OR CLIENT-APPROVED EQUIVALENT, COMPLETE WITH ALL NECESSARY MATERIALS, LABOR, AND EQUIPMENT FOR A UNIFORM AND DURABLE FINISH.</t>
  </si>
  <si>
    <t>PAINTING AND DECORATING - OF PVA EMULSION PAINT ON THE FOLLOWING</t>
  </si>
  <si>
    <t>PAINTING AND DECORATING - PREPARE AND APPLY ONE UNDERCOAT AND THREE COATS OF PLASCON ACRYLIC MATT PAINT ON THE FOLLOWING</t>
  </si>
  <si>
    <t>PAINTING AND DECORATING - TOUCH UP MANUFACTURERS' PRIMER AND APPLY TWO COATS OF OIL GLOSS PAINT ON THE FOLLOWING:</t>
  </si>
  <si>
    <t>SUBTOTAL</t>
  </si>
  <si>
    <t>ADD: CONTINGENCY @ 10%</t>
  </si>
  <si>
    <t>GRAND TOTAL - VAT EXCLUSIVE</t>
  </si>
  <si>
    <t>CHECK AGAINST SOURCE BOQ GRAND TOTAL</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</si>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</sst>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4"/>
      <color rgb="FFFFFFFF"/>
      <name val="Calibri"/>
    </font>
    <font>
      <b/>
      <sz val="10"/>
      <name val="Calibri"/>
    </font>
    <font>
      <b/>
      <sz val="11"/>
      <color rgb="FFFFFFFF"/>
      <name val="Calibri"/>
    </font>
    <font>
      <sz val="9"/>
      <name val="Calibri"/>
    </font>
    <font>
      <i/>
      <sz val="9"/>
      <name val="Calibri"/>
    </font>
    <font>
      <b/>
      <i/>
      <sz val="9"/>
      <name val="Calibri"/>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D9EAD3"/>
      </patternFill>
    </fill>
    <fill>
      <patternFill patternType="solid">
        <fgColor rgb="FFE2F0D9"/>
      </patternFill>
    </fill>
    <fill>
      <patternFill patternType="solid">
        <fgColor rgb="FFFFF2CC"/>
      </patternFill>
    </fill>
    <fill>
      <patternFill patternType="solid">
        <fgColor rgb="FFF4CCCC"/>
      </patternFill>
    </fill>
  </fills>
  <borders count="6">
    <border>
      <left/>
      <right/>
      <top/>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hair">
        <color rgb="FFB7B7B7"/>
      </bottom>
      <diagonal/>
    </border>
  </borders>
  <cellStyleXfs count="1">
    <xf numFmtId="0" fontId="0" fillId="0" borderId="0"/>
  </cellStyleXfs>
  <cellXfs count="32">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2"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left" vertical="center" wrapText="1"/>
    </xf>
    <xf numFmtId="0" fontId="2" fillId="5" borderId="4" xfId="0" applyFont="1" applyFill="1" applyBorder="1" applyAlignment="1">
      <alignment horizontal="center" vertical="center" wrapText="1"/>
    </xf>
    <xf numFmtId="0" fontId="4" fillId="0" borderId="5" xfId="0" applyFont="1" applyBorder="1" applyAlignment="1">
      <alignment horizontal="center" vertical="top" wrapText="1"/>
    </xf>
    <xf numFmtId="0" fontId="4" fillId="0" borderId="5" xfId="0" applyFont="1" applyBorder="1" applyAlignment="1">
      <alignment horizontal="left" vertical="top" wrapText="1"/>
    </xf>
    <xf numFmtId="4" fontId="4" fillId="0" borderId="5" xfId="0" applyNumberFormat="1" applyFont="1" applyBorder="1" applyAlignment="1">
      <alignment horizontal="center" vertical="top"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2" xfId="0" applyFont="1" applyFill="1" applyBorder="1" applyAlignment="1">
      <alignment horizontal="center" vertical="center" wrapText="1"/>
    </xf>
    <xf numFmtId="4" fontId="2" fillId="6" borderId="1"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4" fontId="4" fillId="0" borderId="5" xfId="0" applyNumberFormat="1" applyFont="1" applyBorder="1" applyAlignment="1">
      <alignment horizontal="center" vertical="center" wrapText="1"/>
    </xf>
    <xf numFmtId="0" fontId="2" fillId="7" borderId="1" xfId="0" applyFont="1" applyFill="1" applyBorder="1" applyAlignment="1">
      <alignment horizontal="center" vertical="center" wrapText="1"/>
    </xf>
    <xf numFmtId="0" fontId="2" fillId="7" borderId="2" xfId="0" applyFont="1" applyFill="1" applyBorder="1" applyAlignment="1">
      <alignment horizontal="left" vertical="center" wrapText="1"/>
    </xf>
    <xf numFmtId="0" fontId="2" fillId="7" borderId="2" xfId="0" applyFont="1" applyFill="1" applyBorder="1" applyAlignment="1">
      <alignment horizontal="center" vertical="center" wrapText="1"/>
    </xf>
    <xf numFmtId="4" fontId="2" fillId="7" borderId="1" xfId="0" applyNumberFormat="1" applyFont="1" applyFill="1" applyBorder="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4" fontId="5" fillId="0" borderId="0" xfId="0" applyNumberFormat="1" applyFont="1" applyAlignment="1">
      <alignment horizontal="center"/>
    </xf>
    <xf numFmtId="0" fontId="6" fillId="0" borderId="0" xfId="0" applyFont="1" applyAlignment="1">
      <alignment horizontal="center"/>
    </xf>
    <xf numFmtId="0" fontId="6" fillId="0" borderId="0" xfId="0" applyFont="1" applyAlignment="1">
      <alignment horizontal="left"/>
    </xf>
    <xf numFmtId="4" fontId="6"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0"/>
  <sheetViews>
    <sheetView showGridLines="0" tabSelected="1" workbookViewId="0">
      <pane ySplit="4" topLeftCell="A66" activePane="bottomLeft" state="frozen"/>
      <selection pane="bottomLeft"/>
    </sheetView>
  </sheetViews>
  <sheetFormatPr defaultRowHeight="15" x14ac:dyDescent="0.25"/>
  <cols>
    <col min="1" max="1" width="6.42578125" customWidth="1"/>
    <col min="2" max="2" width="76" customWidth="1"/>
    <col min="3" max="3" width="9" customWidth="1"/>
    <col min="4" max="4" width="8" customWidth="1"/>
    <col min="5" max="5" width="12" customWidth="1"/>
    <col min="6" max="6" width="14" customWidth="1"/>
    <col min="7" max="7" width="12" customWidth="1"/>
  </cols>
  <sheetData>
    <row r="1" spans="1:6" ht="24" customHeight="1" x14ac:dyDescent="0.25">
      <c r="A1" s="1"/>
      <c r="B1" s="1" t="s">
        <v>0</v>
      </c>
      <c r="C1" s="1"/>
      <c r="D1" s="1"/>
      <c r="E1" s="1"/>
      <c r="F1" s="1"/>
    </row>
    <row r="2" spans="1:6" ht="18" customHeight="1" x14ac:dyDescent="0.25">
      <c r="A2" s="2"/>
      <c r="B2" s="2" t="s">
        <v>1</v>
      </c>
      <c r="C2" s="2"/>
      <c r="D2" s="2"/>
      <c r="E2" s="2"/>
      <c r="F2" s="2"/>
    </row>
    <row r="3" spans="1:6" ht="18" customHeight="1" x14ac:dyDescent="0.25">
      <c r="A3" s="2"/>
      <c r="B3" s="2" t="s">
        <v>2</v>
      </c>
      <c r="C3" s="2"/>
      <c r="D3" s="2"/>
      <c r="E3" s="2"/>
      <c r="F3" s="2"/>
    </row>
    <row r="4" spans="1:6" ht="18" customHeight="1" x14ac:dyDescent="0.25"/>
    <row r="5" spans="1:6" ht="18" customHeight="1" x14ac:dyDescent="0.25">
      <c r="A5" s="3"/>
      <c r="B5" s="4" t="s">
        <v>3</v>
      </c>
      <c r="C5" s="5"/>
      <c r="D5" s="5"/>
      <c r="E5" s="5"/>
      <c r="F5" s="3"/>
    </row>
    <row r="6" spans="1:6" ht="18" customHeight="1" x14ac:dyDescent="0.25">
      <c r="A6" s="6" t="s">
        <v>4</v>
      </c>
      <c r="B6" s="7" t="s">
        <v>5</v>
      </c>
      <c r="C6" s="8" t="s">
        <v>6</v>
      </c>
      <c r="D6" s="8" t="s">
        <v>7</v>
      </c>
      <c r="E6" s="8" t="s">
        <v>8</v>
      </c>
      <c r="F6" s="6" t="s">
        <v>9</v>
      </c>
    </row>
    <row r="7" spans="1:6" ht="18" customHeight="1" x14ac:dyDescent="0.25">
      <c r="A7" s="9"/>
      <c r="B7" s="10" t="s">
        <v>3</v>
      </c>
      <c r="C7" s="11"/>
      <c r="D7" s="11"/>
      <c r="E7" s="11"/>
      <c r="F7" s="9"/>
    </row>
    <row r="8" spans="1:6" ht="56.1" customHeight="1" x14ac:dyDescent="0.25">
      <c r="A8" s="12">
        <v>1</v>
      </c>
      <c r="B8" s="13" t="s">
        <v>10</v>
      </c>
      <c r="C8" s="12" t="s">
        <v>11</v>
      </c>
      <c r="D8" s="14">
        <v>1</v>
      </c>
      <c r="E8" s="14">
        <v>7600</v>
      </c>
      <c r="F8" s="14">
        <f>D8*E8</f>
        <v>7600</v>
      </c>
    </row>
    <row r="9" spans="1:6" ht="42" customHeight="1" x14ac:dyDescent="0.25">
      <c r="A9" s="12">
        <v>2</v>
      </c>
      <c r="B9" s="13" t="s">
        <v>12</v>
      </c>
      <c r="C9" s="12" t="s">
        <v>11</v>
      </c>
      <c r="D9" s="14">
        <v>1</v>
      </c>
      <c r="E9" s="14">
        <v>7370</v>
      </c>
      <c r="F9" s="14">
        <f>D9*E9</f>
        <v>7370</v>
      </c>
    </row>
    <row r="10" spans="1:6" ht="18" customHeight="1" x14ac:dyDescent="0.25">
      <c r="A10" s="15"/>
      <c r="B10" s="16" t="s">
        <v>13</v>
      </c>
      <c r="C10" s="17"/>
      <c r="D10" s="17"/>
      <c r="E10" s="17"/>
      <c r="F10" s="18">
        <f>SUM(F8:F9)</f>
        <v>14970</v>
      </c>
    </row>
    <row r="11" spans="1:6" ht="18" customHeight="1" x14ac:dyDescent="0.25"/>
    <row r="12" spans="1:6" ht="18" customHeight="1" x14ac:dyDescent="0.25"/>
    <row r="13" spans="1:6" ht="18" customHeight="1" x14ac:dyDescent="0.25">
      <c r="A13" s="3"/>
      <c r="B13" s="4" t="s">
        <v>14</v>
      </c>
      <c r="C13" s="5"/>
      <c r="D13" s="5"/>
      <c r="E13" s="5"/>
      <c r="F13" s="3"/>
    </row>
    <row r="14" spans="1:6" ht="18" customHeight="1" x14ac:dyDescent="0.25">
      <c r="A14" s="6" t="s">
        <v>4</v>
      </c>
      <c r="B14" s="7" t="s">
        <v>5</v>
      </c>
      <c r="C14" s="8" t="s">
        <v>6</v>
      </c>
      <c r="D14" s="8" t="s">
        <v>7</v>
      </c>
      <c r="E14" s="8" t="s">
        <v>8</v>
      </c>
      <c r="F14" s="6" t="s">
        <v>9</v>
      </c>
    </row>
    <row r="15" spans="1:6" ht="18" customHeight="1" x14ac:dyDescent="0.25">
      <c r="A15" s="9"/>
      <c r="B15" s="10" t="s">
        <v>15</v>
      </c>
      <c r="C15" s="11"/>
      <c r="D15" s="11"/>
      <c r="E15" s="11"/>
      <c r="F15" s="9"/>
    </row>
    <row r="16" spans="1:6" ht="27.95" customHeight="1" x14ac:dyDescent="0.25">
      <c r="A16" s="12">
        <v>1</v>
      </c>
      <c r="B16" s="13" t="s">
        <v>16</v>
      </c>
      <c r="C16" s="12" t="s">
        <v>17</v>
      </c>
      <c r="D16" s="14">
        <v>3</v>
      </c>
      <c r="E16" s="14">
        <v>109</v>
      </c>
      <c r="F16" s="14">
        <f t="shared" ref="F16:F26" si="0">D16*E16</f>
        <v>327</v>
      </c>
    </row>
    <row r="17" spans="1:6" ht="27.95" customHeight="1" x14ac:dyDescent="0.25">
      <c r="A17" s="12">
        <v>2</v>
      </c>
      <c r="B17" s="13" t="s">
        <v>18</v>
      </c>
      <c r="C17" s="12" t="s">
        <v>19</v>
      </c>
      <c r="D17" s="14">
        <v>3</v>
      </c>
      <c r="E17" s="14">
        <v>130</v>
      </c>
      <c r="F17" s="14">
        <f t="shared" si="0"/>
        <v>390</v>
      </c>
    </row>
    <row r="18" spans="1:6" ht="27.95" customHeight="1" x14ac:dyDescent="0.25">
      <c r="A18" s="12">
        <v>3</v>
      </c>
      <c r="B18" s="13" t="s">
        <v>20</v>
      </c>
      <c r="C18" s="12" t="s">
        <v>19</v>
      </c>
      <c r="D18" s="14">
        <v>1</v>
      </c>
      <c r="E18" s="14">
        <v>190</v>
      </c>
      <c r="F18" s="14">
        <f t="shared" si="0"/>
        <v>190</v>
      </c>
    </row>
    <row r="19" spans="1:6" ht="27.95" customHeight="1" x14ac:dyDescent="0.25">
      <c r="A19" s="12">
        <v>4</v>
      </c>
      <c r="B19" s="13" t="s">
        <v>21</v>
      </c>
      <c r="C19" s="12" t="s">
        <v>19</v>
      </c>
      <c r="D19" s="14">
        <v>1</v>
      </c>
      <c r="E19" s="14">
        <v>1100</v>
      </c>
      <c r="F19" s="14">
        <f t="shared" si="0"/>
        <v>1100</v>
      </c>
    </row>
    <row r="20" spans="1:6" ht="27.95" customHeight="1" x14ac:dyDescent="0.25">
      <c r="A20" s="12">
        <v>5</v>
      </c>
      <c r="B20" s="13" t="s">
        <v>22</v>
      </c>
      <c r="C20" s="12" t="s">
        <v>19</v>
      </c>
      <c r="D20" s="14">
        <v>1</v>
      </c>
      <c r="E20" s="14">
        <v>660</v>
      </c>
      <c r="F20" s="14">
        <f t="shared" si="0"/>
        <v>660</v>
      </c>
    </row>
    <row r="21" spans="1:6" ht="27.95" customHeight="1" x14ac:dyDescent="0.25">
      <c r="A21" s="12">
        <v>6</v>
      </c>
      <c r="B21" s="13" t="s">
        <v>23</v>
      </c>
      <c r="C21" s="12" t="s">
        <v>19</v>
      </c>
      <c r="D21" s="14">
        <v>1</v>
      </c>
      <c r="E21" s="14">
        <v>270</v>
      </c>
      <c r="F21" s="14">
        <f t="shared" si="0"/>
        <v>270</v>
      </c>
    </row>
    <row r="22" spans="1:6" ht="27.95" customHeight="1" x14ac:dyDescent="0.25">
      <c r="A22" s="12">
        <v>7</v>
      </c>
      <c r="B22" s="13" t="s">
        <v>24</v>
      </c>
      <c r="C22" s="12" t="s">
        <v>19</v>
      </c>
      <c r="D22" s="14">
        <v>1</v>
      </c>
      <c r="E22" s="14">
        <v>790</v>
      </c>
      <c r="F22" s="14">
        <f t="shared" si="0"/>
        <v>790</v>
      </c>
    </row>
    <row r="23" spans="1:6" ht="27.95" customHeight="1" x14ac:dyDescent="0.25">
      <c r="A23" s="12">
        <v>8</v>
      </c>
      <c r="B23" s="13" t="s">
        <v>25</v>
      </c>
      <c r="C23" s="12" t="s">
        <v>19</v>
      </c>
      <c r="D23" s="14">
        <v>1</v>
      </c>
      <c r="E23" s="14">
        <v>340</v>
      </c>
      <c r="F23" s="14">
        <f t="shared" si="0"/>
        <v>340</v>
      </c>
    </row>
    <row r="24" spans="1:6" ht="27.95" customHeight="1" x14ac:dyDescent="0.25">
      <c r="A24" s="12">
        <v>9</v>
      </c>
      <c r="B24" s="13" t="s">
        <v>26</v>
      </c>
      <c r="C24" s="12" t="s">
        <v>19</v>
      </c>
      <c r="D24" s="14">
        <v>1</v>
      </c>
      <c r="E24" s="14">
        <v>87</v>
      </c>
      <c r="F24" s="14">
        <f t="shared" si="0"/>
        <v>87</v>
      </c>
    </row>
    <row r="25" spans="1:6" ht="27.95" customHeight="1" x14ac:dyDescent="0.25">
      <c r="A25" s="12">
        <v>10</v>
      </c>
      <c r="B25" s="13" t="s">
        <v>27</v>
      </c>
      <c r="C25" s="12" t="s">
        <v>19</v>
      </c>
      <c r="D25" s="14">
        <v>1</v>
      </c>
      <c r="E25" s="14">
        <v>3300</v>
      </c>
      <c r="F25" s="14">
        <f t="shared" si="0"/>
        <v>3300</v>
      </c>
    </row>
    <row r="26" spans="1:6" ht="56.1" customHeight="1" x14ac:dyDescent="0.25">
      <c r="A26" s="12">
        <v>11</v>
      </c>
      <c r="B26" s="13" t="s">
        <v>28</v>
      </c>
      <c r="C26" s="12" t="s">
        <v>29</v>
      </c>
      <c r="D26" s="14">
        <v>15</v>
      </c>
      <c r="E26" s="14">
        <v>110</v>
      </c>
      <c r="F26" s="14">
        <f t="shared" si="0"/>
        <v>1650</v>
      </c>
    </row>
    <row r="27" spans="1:6" ht="18" customHeight="1" x14ac:dyDescent="0.25">
      <c r="A27" s="15"/>
      <c r="B27" s="16" t="s">
        <v>30</v>
      </c>
      <c r="C27" s="17"/>
      <c r="D27" s="17"/>
      <c r="E27" s="17"/>
      <c r="F27" s="18">
        <f>SUM(F16:F26)</f>
        <v>9104</v>
      </c>
    </row>
    <row r="28" spans="1:6" ht="18" customHeight="1" x14ac:dyDescent="0.25"/>
    <row r="29" spans="1:6" ht="18" customHeight="1" x14ac:dyDescent="0.25"/>
    <row r="30" spans="1:6" ht="18" customHeight="1" x14ac:dyDescent="0.25">
      <c r="A30" s="3"/>
      <c r="B30" s="4" t="s">
        <v>31</v>
      </c>
      <c r="C30" s="5"/>
      <c r="D30" s="5"/>
      <c r="E30" s="5"/>
      <c r="F30" s="3"/>
    </row>
    <row r="31" spans="1:6" ht="18" customHeight="1" x14ac:dyDescent="0.25">
      <c r="A31" s="6" t="s">
        <v>4</v>
      </c>
      <c r="B31" s="7" t="s">
        <v>5</v>
      </c>
      <c r="C31" s="8" t="s">
        <v>6</v>
      </c>
      <c r="D31" s="8" t="s">
        <v>7</v>
      </c>
      <c r="E31" s="8" t="s">
        <v>8</v>
      </c>
      <c r="F31" s="6" t="s">
        <v>9</v>
      </c>
    </row>
    <row r="32" spans="1:6" ht="18" customHeight="1" x14ac:dyDescent="0.25">
      <c r="A32" s="9"/>
      <c r="B32" s="10" t="s">
        <v>32</v>
      </c>
      <c r="C32" s="11"/>
      <c r="D32" s="11"/>
      <c r="E32" s="11"/>
      <c r="F32" s="9"/>
    </row>
    <row r="33" spans="1:6" ht="18" customHeight="1" x14ac:dyDescent="0.25">
      <c r="A33" s="12">
        <v>1</v>
      </c>
      <c r="B33" s="13" t="s">
        <v>33</v>
      </c>
      <c r="C33" s="12" t="s">
        <v>29</v>
      </c>
      <c r="D33" s="14">
        <v>45</v>
      </c>
      <c r="E33" s="14">
        <v>160</v>
      </c>
      <c r="F33" s="14">
        <f t="shared" ref="F33:F41" si="1">D33*E33</f>
        <v>7200</v>
      </c>
    </row>
    <row r="34" spans="1:6" ht="27.95" customHeight="1" x14ac:dyDescent="0.25">
      <c r="A34" s="12">
        <v>2</v>
      </c>
      <c r="B34" s="13" t="s">
        <v>34</v>
      </c>
      <c r="C34" s="12" t="s">
        <v>35</v>
      </c>
      <c r="D34" s="14">
        <v>10</v>
      </c>
      <c r="E34" s="14">
        <v>360</v>
      </c>
      <c r="F34" s="14">
        <f t="shared" si="1"/>
        <v>3600</v>
      </c>
    </row>
    <row r="35" spans="1:6" ht="27.95" customHeight="1" x14ac:dyDescent="0.25">
      <c r="A35" s="12">
        <v>3</v>
      </c>
      <c r="B35" s="13" t="s">
        <v>36</v>
      </c>
      <c r="C35" s="12" t="s">
        <v>35</v>
      </c>
      <c r="D35" s="14">
        <v>4</v>
      </c>
      <c r="E35" s="14">
        <v>210</v>
      </c>
      <c r="F35" s="14">
        <f t="shared" si="1"/>
        <v>840</v>
      </c>
    </row>
    <row r="36" spans="1:6" ht="18" customHeight="1" x14ac:dyDescent="0.25">
      <c r="A36" s="12">
        <v>4</v>
      </c>
      <c r="B36" s="13" t="s">
        <v>37</v>
      </c>
      <c r="C36" s="12" t="s">
        <v>35</v>
      </c>
      <c r="D36" s="14">
        <v>6</v>
      </c>
      <c r="E36" s="14">
        <v>160</v>
      </c>
      <c r="F36" s="14">
        <f t="shared" si="1"/>
        <v>960</v>
      </c>
    </row>
    <row r="37" spans="1:6" ht="18" customHeight="1" x14ac:dyDescent="0.25">
      <c r="A37" s="12">
        <v>5</v>
      </c>
      <c r="B37" s="13" t="s">
        <v>38</v>
      </c>
      <c r="C37" s="12" t="s">
        <v>29</v>
      </c>
      <c r="D37" s="14">
        <v>8</v>
      </c>
      <c r="E37" s="14">
        <v>290</v>
      </c>
      <c r="F37" s="14">
        <f t="shared" si="1"/>
        <v>2320</v>
      </c>
    </row>
    <row r="38" spans="1:6" ht="18" customHeight="1" x14ac:dyDescent="0.25">
      <c r="A38" s="12">
        <v>6</v>
      </c>
      <c r="B38" s="13" t="s">
        <v>39</v>
      </c>
      <c r="C38" s="12" t="s">
        <v>19</v>
      </c>
      <c r="D38" s="14">
        <v>1</v>
      </c>
      <c r="E38" s="14">
        <v>2800</v>
      </c>
      <c r="F38" s="14">
        <f t="shared" si="1"/>
        <v>2800</v>
      </c>
    </row>
    <row r="39" spans="1:6" ht="18" customHeight="1" x14ac:dyDescent="0.25">
      <c r="A39" s="12">
        <v>7</v>
      </c>
      <c r="B39" s="13" t="s">
        <v>40</v>
      </c>
      <c r="C39" s="12" t="s">
        <v>19</v>
      </c>
      <c r="D39" s="14">
        <v>1</v>
      </c>
      <c r="E39" s="14">
        <v>2200</v>
      </c>
      <c r="F39" s="14">
        <f t="shared" si="1"/>
        <v>2200</v>
      </c>
    </row>
    <row r="40" spans="1:6" ht="18" customHeight="1" x14ac:dyDescent="0.25">
      <c r="A40" s="12">
        <v>8</v>
      </c>
      <c r="B40" s="13" t="s">
        <v>41</v>
      </c>
      <c r="C40" s="12" t="s">
        <v>19</v>
      </c>
      <c r="D40" s="14">
        <v>1</v>
      </c>
      <c r="E40" s="14">
        <v>1800</v>
      </c>
      <c r="F40" s="14">
        <f t="shared" si="1"/>
        <v>1800</v>
      </c>
    </row>
    <row r="41" spans="1:6" ht="27.95" customHeight="1" x14ac:dyDescent="0.25">
      <c r="A41" s="12">
        <v>9</v>
      </c>
      <c r="B41" s="13" t="s">
        <v>42</v>
      </c>
      <c r="C41" s="12" t="s">
        <v>29</v>
      </c>
      <c r="D41" s="14">
        <v>20</v>
      </c>
      <c r="E41" s="14">
        <v>95</v>
      </c>
      <c r="F41" s="14">
        <f t="shared" si="1"/>
        <v>1900</v>
      </c>
    </row>
    <row r="42" spans="1:6" ht="18" customHeight="1" x14ac:dyDescent="0.25">
      <c r="A42" s="15"/>
      <c r="B42" s="16" t="s">
        <v>43</v>
      </c>
      <c r="C42" s="17"/>
      <c r="D42" s="17"/>
      <c r="E42" s="17"/>
      <c r="F42" s="18">
        <f>SUM(F33:F41)</f>
        <v>23620</v>
      </c>
    </row>
    <row r="43" spans="1:6" ht="18" customHeight="1" x14ac:dyDescent="0.25"/>
    <row r="44" spans="1:6" ht="18" customHeight="1" x14ac:dyDescent="0.25"/>
    <row r="45" spans="1:6" ht="18" customHeight="1" x14ac:dyDescent="0.25">
      <c r="A45" s="6" t="s">
        <v>4</v>
      </c>
      <c r="B45" s="7" t="s">
        <v>5</v>
      </c>
      <c r="C45" s="8" t="s">
        <v>6</v>
      </c>
      <c r="D45" s="8" t="s">
        <v>7</v>
      </c>
      <c r="E45" s="8" t="s">
        <v>8</v>
      </c>
      <c r="F45" s="6" t="s">
        <v>9</v>
      </c>
    </row>
    <row r="46" spans="1:6" ht="18" customHeight="1" x14ac:dyDescent="0.25">
      <c r="A46" s="9"/>
      <c r="B46" s="10" t="s">
        <v>44</v>
      </c>
      <c r="C46" s="11"/>
      <c r="D46" s="11"/>
      <c r="E46" s="11"/>
      <c r="F46" s="9"/>
    </row>
    <row r="47" spans="1:6" ht="18" customHeight="1" x14ac:dyDescent="0.25">
      <c r="A47" s="12">
        <v>1</v>
      </c>
      <c r="B47" s="13" t="s">
        <v>45</v>
      </c>
      <c r="C47" s="12" t="s">
        <v>29</v>
      </c>
      <c r="D47" s="14">
        <v>20</v>
      </c>
      <c r="E47" s="14">
        <v>245</v>
      </c>
      <c r="F47" s="14">
        <f>D47*E47</f>
        <v>4900</v>
      </c>
    </row>
    <row r="48" spans="1:6" ht="18" customHeight="1" x14ac:dyDescent="0.25">
      <c r="A48" s="12">
        <v>2</v>
      </c>
      <c r="B48" s="13" t="s">
        <v>46</v>
      </c>
      <c r="C48" s="12" t="s">
        <v>29</v>
      </c>
      <c r="D48" s="14">
        <v>20</v>
      </c>
      <c r="E48" s="14">
        <v>270</v>
      </c>
      <c r="F48" s="14">
        <f>D48*E48</f>
        <v>5400</v>
      </c>
    </row>
    <row r="49" spans="1:6" ht="18" customHeight="1" x14ac:dyDescent="0.25">
      <c r="A49" s="12">
        <v>3</v>
      </c>
      <c r="B49" s="13" t="s">
        <v>47</v>
      </c>
      <c r="C49" s="12" t="s">
        <v>29</v>
      </c>
      <c r="D49" s="14">
        <v>8</v>
      </c>
      <c r="E49" s="14">
        <v>267</v>
      </c>
      <c r="F49" s="14">
        <f>D49*E49</f>
        <v>2136</v>
      </c>
    </row>
    <row r="50" spans="1:6" ht="27.95" customHeight="1" x14ac:dyDescent="0.25">
      <c r="A50" s="12">
        <v>4</v>
      </c>
      <c r="B50" s="13" t="s">
        <v>48</v>
      </c>
      <c r="C50" s="12" t="s">
        <v>29</v>
      </c>
      <c r="D50" s="14">
        <v>20</v>
      </c>
      <c r="E50" s="14">
        <v>96</v>
      </c>
      <c r="F50" s="14">
        <f>D50*E50</f>
        <v>1920</v>
      </c>
    </row>
    <row r="51" spans="1:6" ht="18" customHeight="1" x14ac:dyDescent="0.25">
      <c r="A51" s="15"/>
      <c r="B51" s="16" t="s">
        <v>49</v>
      </c>
      <c r="C51" s="17"/>
      <c r="D51" s="17"/>
      <c r="E51" s="17"/>
      <c r="F51" s="18">
        <f>SUM(F47:F50)</f>
        <v>14356</v>
      </c>
    </row>
    <row r="52" spans="1:6" ht="18" customHeight="1" x14ac:dyDescent="0.25"/>
    <row r="53" spans="1:6" ht="18" customHeight="1" x14ac:dyDescent="0.25"/>
    <row r="54" spans="1:6" ht="18" customHeight="1" x14ac:dyDescent="0.25">
      <c r="A54" s="6" t="s">
        <v>4</v>
      </c>
      <c r="B54" s="7" t="s">
        <v>5</v>
      </c>
      <c r="C54" s="8" t="s">
        <v>6</v>
      </c>
      <c r="D54" s="8" t="s">
        <v>7</v>
      </c>
      <c r="E54" s="8" t="s">
        <v>8</v>
      </c>
      <c r="F54" s="6" t="s">
        <v>9</v>
      </c>
    </row>
    <row r="55" spans="1:6" ht="18" customHeight="1" x14ac:dyDescent="0.25">
      <c r="A55" s="9"/>
      <c r="B55" s="10" t="s">
        <v>50</v>
      </c>
      <c r="C55" s="11"/>
      <c r="D55" s="11"/>
      <c r="E55" s="11"/>
      <c r="F55" s="9"/>
    </row>
    <row r="56" spans="1:6" ht="18" customHeight="1" x14ac:dyDescent="0.25">
      <c r="A56" s="12">
        <v>1</v>
      </c>
      <c r="B56" s="13" t="s">
        <v>51</v>
      </c>
      <c r="C56" s="12" t="s">
        <v>29</v>
      </c>
      <c r="D56" s="14">
        <v>20</v>
      </c>
      <c r="E56" s="14">
        <v>76</v>
      </c>
      <c r="F56" s="14">
        <f>D56*E56</f>
        <v>1520</v>
      </c>
    </row>
    <row r="57" spans="1:6" ht="18" customHeight="1" x14ac:dyDescent="0.25">
      <c r="A57" s="15"/>
      <c r="B57" s="16" t="s">
        <v>52</v>
      </c>
      <c r="C57" s="17"/>
      <c r="D57" s="17"/>
      <c r="E57" s="17"/>
      <c r="F57" s="18">
        <f>SUM(F56:F56)</f>
        <v>1520</v>
      </c>
    </row>
    <row r="58" spans="1:6" ht="18" customHeight="1" x14ac:dyDescent="0.25"/>
    <row r="59" spans="1:6" ht="18" customHeight="1" x14ac:dyDescent="0.25"/>
    <row r="60" spans="1:6" ht="18" customHeight="1" x14ac:dyDescent="0.25">
      <c r="A60" s="3"/>
      <c r="B60" s="4" t="s">
        <v>53</v>
      </c>
      <c r="C60" s="5"/>
      <c r="D60" s="5"/>
      <c r="E60" s="5"/>
      <c r="F60" s="3"/>
    </row>
    <row r="61" spans="1:6" ht="18" customHeight="1" x14ac:dyDescent="0.25">
      <c r="A61" s="6" t="s">
        <v>4</v>
      </c>
      <c r="B61" s="7" t="s">
        <v>5</v>
      </c>
      <c r="C61" s="8" t="s">
        <v>6</v>
      </c>
      <c r="D61" s="8" t="s">
        <v>7</v>
      </c>
      <c r="E61" s="8" t="s">
        <v>8</v>
      </c>
      <c r="F61" s="6" t="s">
        <v>9</v>
      </c>
    </row>
    <row r="62" spans="1:6" ht="18" customHeight="1" x14ac:dyDescent="0.25">
      <c r="A62" s="9"/>
      <c r="B62" s="10" t="s">
        <v>54</v>
      </c>
      <c r="C62" s="11"/>
      <c r="D62" s="11"/>
      <c r="E62" s="11"/>
      <c r="F62" s="9"/>
    </row>
    <row r="63" spans="1:6" ht="18" customHeight="1" x14ac:dyDescent="0.25">
      <c r="A63" s="12">
        <v>1</v>
      </c>
      <c r="B63" s="13" t="s">
        <v>55</v>
      </c>
      <c r="C63" s="12" t="s">
        <v>29</v>
      </c>
      <c r="D63" s="14">
        <v>20</v>
      </c>
      <c r="E63" s="14">
        <v>1200</v>
      </c>
      <c r="F63" s="14">
        <f>D63*E63</f>
        <v>24000</v>
      </c>
    </row>
    <row r="64" spans="1:6" ht="18" customHeight="1" x14ac:dyDescent="0.25">
      <c r="A64" s="15"/>
      <c r="B64" s="16" t="s">
        <v>56</v>
      </c>
      <c r="C64" s="17"/>
      <c r="D64" s="17"/>
      <c r="E64" s="17"/>
      <c r="F64" s="18">
        <f>SUM(F63:F63)</f>
        <v>24000</v>
      </c>
    </row>
    <row r="65" spans="1:6" ht="18" customHeight="1" x14ac:dyDescent="0.25"/>
    <row r="66" spans="1:6" ht="18" customHeight="1" x14ac:dyDescent="0.25"/>
    <row r="67" spans="1:6" ht="18" customHeight="1" x14ac:dyDescent="0.25">
      <c r="A67" s="6" t="s">
        <v>4</v>
      </c>
      <c r="B67" s="7" t="s">
        <v>5</v>
      </c>
      <c r="C67" s="8" t="s">
        <v>6</v>
      </c>
      <c r="D67" s="8" t="s">
        <v>7</v>
      </c>
      <c r="E67" s="8" t="s">
        <v>8</v>
      </c>
      <c r="F67" s="6" t="s">
        <v>9</v>
      </c>
    </row>
    <row r="68" spans="1:6" ht="18" customHeight="1" x14ac:dyDescent="0.25">
      <c r="A68" s="9"/>
      <c r="B68" s="10" t="s">
        <v>57</v>
      </c>
      <c r="C68" s="11"/>
      <c r="D68" s="11"/>
      <c r="E68" s="11"/>
      <c r="F68" s="9"/>
    </row>
    <row r="69" spans="1:6" ht="18" customHeight="1" x14ac:dyDescent="0.25">
      <c r="A69" s="12">
        <v>1</v>
      </c>
      <c r="B69" s="13" t="s">
        <v>58</v>
      </c>
      <c r="C69" s="12" t="s">
        <v>35</v>
      </c>
      <c r="D69" s="14">
        <v>2</v>
      </c>
      <c r="E69" s="14">
        <v>3300</v>
      </c>
      <c r="F69" s="14">
        <f>D69*E69</f>
        <v>6600</v>
      </c>
    </row>
    <row r="70" spans="1:6" ht="18" customHeight="1" x14ac:dyDescent="0.25">
      <c r="A70" s="15"/>
      <c r="B70" s="16" t="s">
        <v>59</v>
      </c>
      <c r="C70" s="17"/>
      <c r="D70" s="17"/>
      <c r="E70" s="17"/>
      <c r="F70" s="18">
        <f>SUM(F69:F69)</f>
        <v>6600</v>
      </c>
    </row>
    <row r="71" spans="1:6" ht="18" customHeight="1" x14ac:dyDescent="0.25"/>
    <row r="72" spans="1:6" ht="18" customHeight="1" x14ac:dyDescent="0.25"/>
    <row r="73" spans="1:6" ht="18" customHeight="1" x14ac:dyDescent="0.25">
      <c r="A73" s="6" t="s">
        <v>4</v>
      </c>
      <c r="B73" s="7" t="s">
        <v>5</v>
      </c>
      <c r="C73" s="8" t="s">
        <v>6</v>
      </c>
      <c r="D73" s="8" t="s">
        <v>7</v>
      </c>
      <c r="E73" s="8" t="s">
        <v>8</v>
      </c>
      <c r="F73" s="6" t="s">
        <v>9</v>
      </c>
    </row>
    <row r="74" spans="1:6" ht="18" customHeight="1" x14ac:dyDescent="0.25">
      <c r="A74" s="9"/>
      <c r="B74" s="10" t="s">
        <v>60</v>
      </c>
      <c r="C74" s="11"/>
      <c r="D74" s="11"/>
      <c r="E74" s="11"/>
      <c r="F74" s="9"/>
    </row>
    <row r="75" spans="1:6" ht="27.95" customHeight="1" x14ac:dyDescent="0.25">
      <c r="A75" s="12">
        <v>1</v>
      </c>
      <c r="B75" s="13" t="s">
        <v>61</v>
      </c>
      <c r="C75" s="12" t="s">
        <v>29</v>
      </c>
      <c r="D75" s="14">
        <v>20</v>
      </c>
      <c r="E75" s="14">
        <v>145</v>
      </c>
      <c r="F75" s="14">
        <f>D75*E75</f>
        <v>2900</v>
      </c>
    </row>
    <row r="76" spans="1:6" ht="18" customHeight="1" x14ac:dyDescent="0.25">
      <c r="A76" s="15"/>
      <c r="B76" s="16" t="s">
        <v>62</v>
      </c>
      <c r="C76" s="17"/>
      <c r="D76" s="17"/>
      <c r="E76" s="17"/>
      <c r="F76" s="18">
        <f>SUM(F75:F75)</f>
        <v>2900</v>
      </c>
    </row>
    <row r="77" spans="1:6" ht="18" customHeight="1" x14ac:dyDescent="0.25"/>
    <row r="78" spans="1:6" ht="18" customHeight="1" x14ac:dyDescent="0.25"/>
    <row r="79" spans="1:6" ht="18" customHeight="1" x14ac:dyDescent="0.25">
      <c r="A79" s="6" t="s">
        <v>4</v>
      </c>
      <c r="B79" s="7" t="s">
        <v>5</v>
      </c>
      <c r="C79" s="8" t="s">
        <v>6</v>
      </c>
      <c r="D79" s="8" t="s">
        <v>7</v>
      </c>
      <c r="E79" s="8" t="s">
        <v>8</v>
      </c>
      <c r="F79" s="6" t="s">
        <v>9</v>
      </c>
    </row>
    <row r="80" spans="1:6" ht="18" customHeight="1" x14ac:dyDescent="0.25">
      <c r="A80" s="9"/>
      <c r="B80" s="10" t="s">
        <v>63</v>
      </c>
      <c r="C80" s="11"/>
      <c r="D80" s="11"/>
      <c r="E80" s="11"/>
      <c r="F80" s="9"/>
    </row>
    <row r="81" spans="1:6" ht="18" customHeight="1" x14ac:dyDescent="0.25">
      <c r="A81" s="12">
        <v>1</v>
      </c>
      <c r="B81" s="13" t="s">
        <v>64</v>
      </c>
      <c r="C81" s="12" t="s">
        <v>65</v>
      </c>
      <c r="D81" s="14">
        <v>14</v>
      </c>
      <c r="E81" s="14">
        <v>160</v>
      </c>
      <c r="F81" s="14">
        <f>D81*E81</f>
        <v>2240</v>
      </c>
    </row>
    <row r="82" spans="1:6" ht="18" customHeight="1" x14ac:dyDescent="0.25">
      <c r="A82" s="15"/>
      <c r="B82" s="16" t="s">
        <v>66</v>
      </c>
      <c r="C82" s="17"/>
      <c r="D82" s="17"/>
      <c r="E82" s="17"/>
      <c r="F82" s="18">
        <f>SUM(F81:F81)</f>
        <v>2240</v>
      </c>
    </row>
    <row r="83" spans="1:6" ht="18" customHeight="1" x14ac:dyDescent="0.25"/>
    <row r="84" spans="1:6" ht="18" customHeight="1" x14ac:dyDescent="0.25"/>
    <row r="85" spans="1:6" ht="18" customHeight="1" x14ac:dyDescent="0.25">
      <c r="A85" s="6" t="s">
        <v>4</v>
      </c>
      <c r="B85" s="7" t="s">
        <v>5</v>
      </c>
      <c r="C85" s="8" t="s">
        <v>6</v>
      </c>
      <c r="D85" s="8" t="s">
        <v>7</v>
      </c>
      <c r="E85" s="8" t="s">
        <v>8</v>
      </c>
      <c r="F85" s="6" t="s">
        <v>9</v>
      </c>
    </row>
    <row r="86" spans="1:6" ht="18" customHeight="1" x14ac:dyDescent="0.25">
      <c r="A86" s="9"/>
      <c r="B86" s="10" t="s">
        <v>67</v>
      </c>
      <c r="C86" s="11"/>
      <c r="D86" s="11"/>
      <c r="E86" s="11"/>
      <c r="F86" s="9"/>
    </row>
    <row r="87" spans="1:6" ht="18" customHeight="1" x14ac:dyDescent="0.25">
      <c r="A87" s="12">
        <v>1</v>
      </c>
      <c r="B87" s="13" t="s">
        <v>68</v>
      </c>
      <c r="C87" s="12" t="s">
        <v>29</v>
      </c>
      <c r="D87" s="14">
        <v>12</v>
      </c>
      <c r="E87" s="14">
        <v>170</v>
      </c>
      <c r="F87" s="14">
        <f>D87*E87</f>
        <v>2040</v>
      </c>
    </row>
    <row r="88" spans="1:6" ht="18" customHeight="1" x14ac:dyDescent="0.25">
      <c r="A88" s="15"/>
      <c r="B88" s="16" t="s">
        <v>69</v>
      </c>
      <c r="C88" s="17"/>
      <c r="D88" s="17"/>
      <c r="E88" s="17"/>
      <c r="F88" s="18">
        <f>SUM(F87:F87)</f>
        <v>2040</v>
      </c>
    </row>
    <row r="89" spans="1:6" ht="18" customHeight="1" x14ac:dyDescent="0.25"/>
    <row r="90" spans="1:6" ht="18" customHeight="1" x14ac:dyDescent="0.25"/>
    <row r="91" spans="1:6" ht="18" customHeight="1" x14ac:dyDescent="0.25">
      <c r="A91" s="6" t="s">
        <v>4</v>
      </c>
      <c r="B91" s="7" t="s">
        <v>5</v>
      </c>
      <c r="C91" s="8" t="s">
        <v>6</v>
      </c>
      <c r="D91" s="8" t="s">
        <v>7</v>
      </c>
      <c r="E91" s="8" t="s">
        <v>8</v>
      </c>
      <c r="F91" s="6" t="s">
        <v>9</v>
      </c>
    </row>
    <row r="92" spans="1:6" ht="18" customHeight="1" x14ac:dyDescent="0.25">
      <c r="A92" s="9"/>
      <c r="B92" s="10" t="s">
        <v>70</v>
      </c>
      <c r="C92" s="11"/>
      <c r="D92" s="11"/>
      <c r="E92" s="11"/>
      <c r="F92" s="9"/>
    </row>
    <row r="93" spans="1:6" ht="18" customHeight="1" x14ac:dyDescent="0.25">
      <c r="A93" s="12">
        <v>1</v>
      </c>
      <c r="B93" s="13" t="s">
        <v>71</v>
      </c>
      <c r="C93" s="12" t="s">
        <v>65</v>
      </c>
      <c r="D93" s="14">
        <v>24</v>
      </c>
      <c r="E93" s="14">
        <v>99</v>
      </c>
      <c r="F93" s="14">
        <f>D93*E93</f>
        <v>2376</v>
      </c>
    </row>
    <row r="94" spans="1:6" ht="18" customHeight="1" x14ac:dyDescent="0.25">
      <c r="A94" s="15"/>
      <c r="B94" s="16" t="s">
        <v>72</v>
      </c>
      <c r="C94" s="17"/>
      <c r="D94" s="17"/>
      <c r="E94" s="17"/>
      <c r="F94" s="18">
        <f>SUM(F93:F93)</f>
        <v>2376</v>
      </c>
    </row>
    <row r="95" spans="1:6" ht="18" customHeight="1" x14ac:dyDescent="0.25"/>
    <row r="96" spans="1:6" ht="18" customHeight="1" x14ac:dyDescent="0.25"/>
    <row r="97" spans="1:6" ht="18" customHeight="1" x14ac:dyDescent="0.25">
      <c r="A97" s="6" t="s">
        <v>4</v>
      </c>
      <c r="B97" s="7" t="s">
        <v>5</v>
      </c>
      <c r="C97" s="8" t="s">
        <v>6</v>
      </c>
      <c r="D97" s="8" t="s">
        <v>7</v>
      </c>
      <c r="E97" s="8" t="s">
        <v>8</v>
      </c>
      <c r="F97" s="6" t="s">
        <v>9</v>
      </c>
    </row>
    <row r="98" spans="1:6" ht="18" customHeight="1" x14ac:dyDescent="0.25">
      <c r="A98" s="9"/>
      <c r="B98" s="10" t="s">
        <v>73</v>
      </c>
      <c r="C98" s="11"/>
      <c r="D98" s="11"/>
      <c r="E98" s="11"/>
      <c r="F98" s="9"/>
    </row>
    <row r="99" spans="1:6" ht="18" customHeight="1" x14ac:dyDescent="0.25">
      <c r="A99" s="12">
        <v>1</v>
      </c>
      <c r="B99" s="13" t="s">
        <v>74</v>
      </c>
      <c r="C99" s="12" t="s">
        <v>29</v>
      </c>
      <c r="D99" s="14">
        <v>12</v>
      </c>
      <c r="E99" s="14">
        <v>270</v>
      </c>
      <c r="F99" s="14">
        <f>D99*E99</f>
        <v>3240</v>
      </c>
    </row>
    <row r="100" spans="1:6" ht="18" customHeight="1" x14ac:dyDescent="0.25">
      <c r="A100" s="15"/>
      <c r="B100" s="16" t="s">
        <v>75</v>
      </c>
      <c r="C100" s="17"/>
      <c r="D100" s="17"/>
      <c r="E100" s="17"/>
      <c r="F100" s="18">
        <f>SUM(F99:F99)</f>
        <v>3240</v>
      </c>
    </row>
    <row r="101" spans="1:6" ht="18" customHeight="1" x14ac:dyDescent="0.25"/>
    <row r="102" spans="1:6" ht="18" customHeight="1" x14ac:dyDescent="0.25"/>
    <row r="103" spans="1:6" ht="18" customHeight="1" x14ac:dyDescent="0.25">
      <c r="A103" s="6" t="s">
        <v>4</v>
      </c>
      <c r="B103" s="7" t="s">
        <v>5</v>
      </c>
      <c r="C103" s="8" t="s">
        <v>6</v>
      </c>
      <c r="D103" s="8" t="s">
        <v>7</v>
      </c>
      <c r="E103" s="8" t="s">
        <v>8</v>
      </c>
      <c r="F103" s="6" t="s">
        <v>9</v>
      </c>
    </row>
    <row r="104" spans="1:6" ht="18" customHeight="1" x14ac:dyDescent="0.25">
      <c r="A104" s="9"/>
      <c r="B104" s="10" t="s">
        <v>76</v>
      </c>
      <c r="C104" s="11"/>
      <c r="D104" s="11"/>
      <c r="E104" s="11"/>
      <c r="F104" s="9"/>
    </row>
    <row r="105" spans="1:6" ht="18" customHeight="1" x14ac:dyDescent="0.25">
      <c r="A105" s="12">
        <v>1</v>
      </c>
      <c r="B105" s="13" t="s">
        <v>77</v>
      </c>
      <c r="C105" s="12" t="s">
        <v>29</v>
      </c>
      <c r="D105" s="14">
        <v>31</v>
      </c>
      <c r="E105" s="14">
        <v>115</v>
      </c>
      <c r="F105" s="14">
        <f>D105*E105</f>
        <v>3565</v>
      </c>
    </row>
    <row r="106" spans="1:6" ht="18" customHeight="1" x14ac:dyDescent="0.25">
      <c r="A106" s="15"/>
      <c r="B106" s="16" t="s">
        <v>78</v>
      </c>
      <c r="C106" s="17"/>
      <c r="D106" s="17"/>
      <c r="E106" s="17"/>
      <c r="F106" s="18">
        <f>SUM(F105:F105)</f>
        <v>3565</v>
      </c>
    </row>
    <row r="107" spans="1:6" ht="18" customHeight="1" x14ac:dyDescent="0.25"/>
    <row r="108" spans="1:6" ht="18" customHeight="1" x14ac:dyDescent="0.25"/>
    <row r="109" spans="1:6" ht="18" customHeight="1" x14ac:dyDescent="0.25">
      <c r="A109" s="6" t="s">
        <v>4</v>
      </c>
      <c r="B109" s="7" t="s">
        <v>5</v>
      </c>
      <c r="C109" s="8" t="s">
        <v>6</v>
      </c>
      <c r="D109" s="8" t="s">
        <v>7</v>
      </c>
      <c r="E109" s="8" t="s">
        <v>8</v>
      </c>
      <c r="F109" s="6" t="s">
        <v>9</v>
      </c>
    </row>
    <row r="110" spans="1:6" ht="18" customHeight="1" x14ac:dyDescent="0.25">
      <c r="A110" s="9"/>
      <c r="B110" s="10" t="s">
        <v>79</v>
      </c>
      <c r="C110" s="11"/>
      <c r="D110" s="11"/>
      <c r="E110" s="11"/>
      <c r="F110" s="9"/>
    </row>
    <row r="111" spans="1:6" ht="18" customHeight="1" x14ac:dyDescent="0.25">
      <c r="A111" s="12">
        <v>1</v>
      </c>
      <c r="B111" s="13" t="s">
        <v>80</v>
      </c>
      <c r="C111" s="12" t="s">
        <v>35</v>
      </c>
      <c r="D111" s="14">
        <v>1</v>
      </c>
      <c r="E111" s="14">
        <v>3550</v>
      </c>
      <c r="F111" s="14">
        <f>D111*E111</f>
        <v>3550</v>
      </c>
    </row>
    <row r="112" spans="1:6" ht="18" customHeight="1" x14ac:dyDescent="0.25">
      <c r="A112" s="12">
        <v>2</v>
      </c>
      <c r="B112" s="13" t="s">
        <v>81</v>
      </c>
      <c r="C112" s="12" t="s">
        <v>82</v>
      </c>
      <c r="D112" s="14">
        <v>20</v>
      </c>
      <c r="E112" s="14">
        <v>88</v>
      </c>
      <c r="F112" s="14">
        <f>D112*E112</f>
        <v>1760</v>
      </c>
    </row>
    <row r="113" spans="1:6" ht="18" customHeight="1" x14ac:dyDescent="0.25">
      <c r="A113" s="12">
        <v>3</v>
      </c>
      <c r="B113" s="13" t="s">
        <v>83</v>
      </c>
      <c r="C113" s="12" t="s">
        <v>82</v>
      </c>
      <c r="D113" s="14">
        <v>50</v>
      </c>
      <c r="E113" s="14">
        <v>102</v>
      </c>
      <c r="F113" s="14">
        <f>D113*E113</f>
        <v>5100</v>
      </c>
    </row>
    <row r="114" spans="1:6" ht="18" customHeight="1" x14ac:dyDescent="0.25">
      <c r="A114" s="15"/>
      <c r="B114" s="16" t="s">
        <v>84</v>
      </c>
      <c r="C114" s="17"/>
      <c r="D114" s="17"/>
      <c r="E114" s="17"/>
      <c r="F114" s="18">
        <f>SUM(F111:F113)</f>
        <v>10410</v>
      </c>
    </row>
    <row r="115" spans="1:6" ht="18" customHeight="1" x14ac:dyDescent="0.25"/>
    <row r="116" spans="1:6" ht="18" customHeight="1" x14ac:dyDescent="0.25"/>
    <row r="117" spans="1:6" ht="18" customHeight="1" x14ac:dyDescent="0.25">
      <c r="A117" s="6" t="s">
        <v>4</v>
      </c>
      <c r="B117" s="7" t="s">
        <v>5</v>
      </c>
      <c r="C117" s="8" t="s">
        <v>6</v>
      </c>
      <c r="D117" s="8" t="s">
        <v>7</v>
      </c>
      <c r="E117" s="8" t="s">
        <v>8</v>
      </c>
      <c r="F117" s="6" t="s">
        <v>9</v>
      </c>
    </row>
    <row r="118" spans="1:6" ht="18" customHeight="1" x14ac:dyDescent="0.25">
      <c r="A118" s="9"/>
      <c r="B118" s="10" t="s">
        <v>85</v>
      </c>
      <c r="C118" s="11"/>
      <c r="D118" s="11"/>
      <c r="E118" s="11"/>
      <c r="F118" s="9"/>
    </row>
    <row r="119" spans="1:6" ht="18" customHeight="1" x14ac:dyDescent="0.25">
      <c r="A119" s="12">
        <v>1</v>
      </c>
      <c r="B119" s="13" t="s">
        <v>86</v>
      </c>
      <c r="C119" s="12" t="s">
        <v>65</v>
      </c>
      <c r="D119" s="14">
        <v>30</v>
      </c>
      <c r="E119" s="14">
        <v>360</v>
      </c>
      <c r="F119" s="14">
        <f>D119*E119</f>
        <v>10800</v>
      </c>
    </row>
    <row r="120" spans="1:6" ht="18" customHeight="1" x14ac:dyDescent="0.25">
      <c r="A120" s="15"/>
      <c r="B120" s="16" t="s">
        <v>87</v>
      </c>
      <c r="C120" s="17"/>
      <c r="D120" s="17"/>
      <c r="E120" s="17"/>
      <c r="F120" s="18">
        <f>SUM(F119:F119)</f>
        <v>10800</v>
      </c>
    </row>
    <row r="121" spans="1:6" ht="18" customHeight="1" x14ac:dyDescent="0.25"/>
    <row r="122" spans="1:6" ht="18" customHeight="1" x14ac:dyDescent="0.25"/>
    <row r="123" spans="1:6" ht="18" customHeight="1" x14ac:dyDescent="0.25">
      <c r="A123" s="3"/>
      <c r="B123" s="4" t="s">
        <v>88</v>
      </c>
      <c r="C123" s="5"/>
      <c r="D123" s="5"/>
      <c r="E123" s="5"/>
      <c r="F123" s="3"/>
    </row>
    <row r="124" spans="1:6" ht="18" customHeight="1" x14ac:dyDescent="0.25">
      <c r="A124" s="6" t="s">
        <v>4</v>
      </c>
      <c r="B124" s="7" t="s">
        <v>5</v>
      </c>
      <c r="C124" s="8" t="s">
        <v>6</v>
      </c>
      <c r="D124" s="8" t="s">
        <v>7</v>
      </c>
      <c r="E124" s="8" t="s">
        <v>8</v>
      </c>
      <c r="F124" s="6" t="s">
        <v>9</v>
      </c>
    </row>
    <row r="125" spans="1:6" ht="18" customHeight="1" x14ac:dyDescent="0.25">
      <c r="A125" s="9"/>
      <c r="B125" s="10" t="s">
        <v>89</v>
      </c>
      <c r="C125" s="11"/>
      <c r="D125" s="11"/>
      <c r="E125" s="11"/>
      <c r="F125" s="9"/>
    </row>
    <row r="126" spans="1:6" ht="18" customHeight="1" x14ac:dyDescent="0.25">
      <c r="A126" s="12">
        <v>1</v>
      </c>
      <c r="B126" s="13" t="s">
        <v>90</v>
      </c>
      <c r="C126" s="12" t="s">
        <v>29</v>
      </c>
      <c r="D126" s="14">
        <v>44</v>
      </c>
      <c r="E126" s="14">
        <v>145</v>
      </c>
      <c r="F126" s="14">
        <f>D126*E126</f>
        <v>6380</v>
      </c>
    </row>
    <row r="127" spans="1:6" ht="18" customHeight="1" x14ac:dyDescent="0.25">
      <c r="A127" s="15"/>
      <c r="B127" s="16" t="s">
        <v>91</v>
      </c>
      <c r="C127" s="17"/>
      <c r="D127" s="17"/>
      <c r="E127" s="17"/>
      <c r="F127" s="18">
        <f>SUM(F126:F126)</f>
        <v>6380</v>
      </c>
    </row>
    <row r="128" spans="1:6" ht="18" customHeight="1" x14ac:dyDescent="0.25"/>
    <row r="129" spans="1:6" ht="18" customHeight="1" x14ac:dyDescent="0.25"/>
    <row r="130" spans="1:6" ht="18" customHeight="1" x14ac:dyDescent="0.25">
      <c r="A130" s="6" t="s">
        <v>4</v>
      </c>
      <c r="B130" s="7" t="s">
        <v>5</v>
      </c>
      <c r="C130" s="8" t="s">
        <v>6</v>
      </c>
      <c r="D130" s="8" t="s">
        <v>7</v>
      </c>
      <c r="E130" s="8" t="s">
        <v>8</v>
      </c>
      <c r="F130" s="6" t="s">
        <v>9</v>
      </c>
    </row>
    <row r="131" spans="1:6" ht="18" customHeight="1" x14ac:dyDescent="0.25">
      <c r="A131" s="9"/>
      <c r="B131" s="10" t="s">
        <v>92</v>
      </c>
      <c r="C131" s="11"/>
      <c r="D131" s="11"/>
      <c r="E131" s="11"/>
      <c r="F131" s="9"/>
    </row>
    <row r="132" spans="1:6" ht="18" customHeight="1" x14ac:dyDescent="0.25">
      <c r="A132" s="12">
        <v>1</v>
      </c>
      <c r="B132" s="13" t="s">
        <v>93</v>
      </c>
      <c r="C132" s="12" t="s">
        <v>65</v>
      </c>
      <c r="D132" s="14">
        <v>12</v>
      </c>
      <c r="E132" s="14">
        <v>160</v>
      </c>
      <c r="F132" s="14">
        <f>D132*E132</f>
        <v>1920</v>
      </c>
    </row>
    <row r="133" spans="1:6" ht="18" customHeight="1" x14ac:dyDescent="0.25">
      <c r="A133" s="15"/>
      <c r="B133" s="16" t="s">
        <v>94</v>
      </c>
      <c r="C133" s="17"/>
      <c r="D133" s="17"/>
      <c r="E133" s="17"/>
      <c r="F133" s="18">
        <f>SUM(F132:F132)</f>
        <v>1920</v>
      </c>
    </row>
    <row r="134" spans="1:6" ht="18" customHeight="1" x14ac:dyDescent="0.25"/>
    <row r="135" spans="1:6" ht="18" customHeight="1" x14ac:dyDescent="0.25"/>
    <row r="136" spans="1:6" ht="18" customHeight="1" x14ac:dyDescent="0.25">
      <c r="A136" s="6" t="s">
        <v>4</v>
      </c>
      <c r="B136" s="7" t="s">
        <v>5</v>
      </c>
      <c r="C136" s="8" t="s">
        <v>6</v>
      </c>
      <c r="D136" s="8" t="s">
        <v>7</v>
      </c>
      <c r="E136" s="8" t="s">
        <v>8</v>
      </c>
      <c r="F136" s="6" t="s">
        <v>9</v>
      </c>
    </row>
    <row r="137" spans="1:6" ht="18" customHeight="1" x14ac:dyDescent="0.25">
      <c r="A137" s="9"/>
      <c r="B137" s="10" t="s">
        <v>95</v>
      </c>
      <c r="C137" s="11"/>
      <c r="D137" s="11"/>
      <c r="E137" s="11"/>
      <c r="F137" s="9"/>
    </row>
    <row r="138" spans="1:6" ht="18" customHeight="1" x14ac:dyDescent="0.25">
      <c r="A138" s="12">
        <v>1</v>
      </c>
      <c r="B138" s="13" t="s">
        <v>96</v>
      </c>
      <c r="C138" s="12" t="s">
        <v>65</v>
      </c>
      <c r="D138" s="14">
        <v>80</v>
      </c>
      <c r="E138" s="14">
        <v>80</v>
      </c>
      <c r="F138" s="14">
        <f>D138*E138</f>
        <v>6400</v>
      </c>
    </row>
    <row r="139" spans="1:6" ht="18" customHeight="1" x14ac:dyDescent="0.25">
      <c r="A139" s="15"/>
      <c r="B139" s="16" t="s">
        <v>97</v>
      </c>
      <c r="C139" s="17"/>
      <c r="D139" s="17"/>
      <c r="E139" s="17"/>
      <c r="F139" s="18">
        <f>SUM(F138:F138)</f>
        <v>6400</v>
      </c>
    </row>
    <row r="140" spans="1:6" ht="18" customHeight="1" x14ac:dyDescent="0.25"/>
    <row r="141" spans="1:6" ht="18" customHeight="1" x14ac:dyDescent="0.25"/>
    <row r="142" spans="1:6" ht="18" customHeight="1" x14ac:dyDescent="0.25">
      <c r="A142" s="6" t="s">
        <v>4</v>
      </c>
      <c r="B142" s="7" t="s">
        <v>5</v>
      </c>
      <c r="C142" s="8" t="s">
        <v>6</v>
      </c>
      <c r="D142" s="8" t="s">
        <v>7</v>
      </c>
      <c r="E142" s="8" t="s">
        <v>8</v>
      </c>
      <c r="F142" s="6" t="s">
        <v>9</v>
      </c>
    </row>
    <row r="143" spans="1:6" ht="18" customHeight="1" x14ac:dyDescent="0.25">
      <c r="A143" s="9"/>
      <c r="B143" s="10" t="s">
        <v>79</v>
      </c>
      <c r="C143" s="11"/>
      <c r="D143" s="11"/>
      <c r="E143" s="11"/>
      <c r="F143" s="9"/>
    </row>
    <row r="144" spans="1:6" ht="18" customHeight="1" x14ac:dyDescent="0.25">
      <c r="A144" s="12">
        <v>1</v>
      </c>
      <c r="B144" s="13" t="s">
        <v>98</v>
      </c>
      <c r="C144" s="12" t="s">
        <v>65</v>
      </c>
      <c r="D144" s="14">
        <v>13</v>
      </c>
      <c r="E144" s="14">
        <v>85</v>
      </c>
      <c r="F144" s="14">
        <f>D144*E144</f>
        <v>1105</v>
      </c>
    </row>
    <row r="145" spans="1:6" ht="18" customHeight="1" x14ac:dyDescent="0.25">
      <c r="A145" s="15"/>
      <c r="B145" s="16" t="s">
        <v>84</v>
      </c>
      <c r="C145" s="17"/>
      <c r="D145" s="17"/>
      <c r="E145" s="17"/>
      <c r="F145" s="18">
        <f>SUM(F144:F144)</f>
        <v>1105</v>
      </c>
    </row>
    <row r="146" spans="1:6" ht="18" customHeight="1" x14ac:dyDescent="0.25"/>
    <row r="147" spans="1:6" ht="18" customHeight="1" x14ac:dyDescent="0.25"/>
    <row r="148" spans="1:6" ht="18" customHeight="1" x14ac:dyDescent="0.25">
      <c r="A148" s="6" t="s">
        <v>4</v>
      </c>
      <c r="B148" s="7" t="s">
        <v>5</v>
      </c>
      <c r="C148" s="8" t="s">
        <v>6</v>
      </c>
      <c r="D148" s="8" t="s">
        <v>7</v>
      </c>
      <c r="E148" s="8" t="s">
        <v>8</v>
      </c>
      <c r="F148" s="6" t="s">
        <v>9</v>
      </c>
    </row>
    <row r="149" spans="1:6" ht="18" customHeight="1" x14ac:dyDescent="0.25">
      <c r="A149" s="9"/>
      <c r="B149" s="10" t="s">
        <v>99</v>
      </c>
      <c r="C149" s="11"/>
      <c r="D149" s="11"/>
      <c r="E149" s="11"/>
      <c r="F149" s="9"/>
    </row>
    <row r="150" spans="1:6" ht="42" customHeight="1" x14ac:dyDescent="0.25">
      <c r="A150" s="12">
        <v>1</v>
      </c>
      <c r="B150" s="13" t="s">
        <v>100</v>
      </c>
      <c r="C150" s="12" t="s">
        <v>17</v>
      </c>
      <c r="D150" s="14">
        <v>12</v>
      </c>
      <c r="E150" s="14">
        <v>320</v>
      </c>
      <c r="F150" s="14">
        <f>D150*E150</f>
        <v>3840</v>
      </c>
    </row>
    <row r="151" spans="1:6" ht="18" customHeight="1" x14ac:dyDescent="0.25">
      <c r="A151" s="15"/>
      <c r="B151" s="16" t="s">
        <v>101</v>
      </c>
      <c r="C151" s="17"/>
      <c r="D151" s="17"/>
      <c r="E151" s="17"/>
      <c r="F151" s="18">
        <f>SUM(F150:F150)</f>
        <v>3840</v>
      </c>
    </row>
    <row r="152" spans="1:6" ht="18" customHeight="1" x14ac:dyDescent="0.25"/>
    <row r="153" spans="1:6" ht="18" customHeight="1" x14ac:dyDescent="0.25"/>
    <row r="154" spans="1:6" ht="18" customHeight="1" x14ac:dyDescent="0.25">
      <c r="A154" s="3"/>
      <c r="B154" s="4" t="s">
        <v>102</v>
      </c>
      <c r="C154" s="5"/>
      <c r="D154" s="5"/>
      <c r="E154" s="5"/>
      <c r="F154" s="3"/>
    </row>
    <row r="155" spans="1:6" ht="18" customHeight="1" x14ac:dyDescent="0.25">
      <c r="A155" s="6" t="s">
        <v>4</v>
      </c>
      <c r="B155" s="7" t="s">
        <v>5</v>
      </c>
      <c r="C155" s="8" t="s">
        <v>6</v>
      </c>
      <c r="D155" s="8" t="s">
        <v>7</v>
      </c>
      <c r="E155" s="8" t="s">
        <v>8</v>
      </c>
      <c r="F155" s="6" t="s">
        <v>9</v>
      </c>
    </row>
    <row r="156" spans="1:6" ht="18" customHeight="1" x14ac:dyDescent="0.25">
      <c r="A156" s="9"/>
      <c r="B156" s="10" t="s">
        <v>103</v>
      </c>
      <c r="C156" s="11"/>
      <c r="D156" s="11"/>
      <c r="E156" s="11"/>
      <c r="F156" s="9"/>
    </row>
    <row r="157" spans="1:6" ht="18" customHeight="1" x14ac:dyDescent="0.25">
      <c r="A157" s="12">
        <v>1</v>
      </c>
      <c r="B157" s="13" t="s">
        <v>104</v>
      </c>
      <c r="C157" s="12" t="s">
        <v>29</v>
      </c>
      <c r="D157" s="14">
        <v>30</v>
      </c>
      <c r="E157" s="14">
        <v>395</v>
      </c>
      <c r="F157" s="14">
        <f>D157*E157</f>
        <v>11850</v>
      </c>
    </row>
    <row r="158" spans="1:6" ht="18" customHeight="1" x14ac:dyDescent="0.25">
      <c r="A158" s="12">
        <v>2</v>
      </c>
      <c r="B158" s="13" t="s">
        <v>105</v>
      </c>
      <c r="C158" s="12" t="s">
        <v>65</v>
      </c>
      <c r="D158" s="14">
        <v>3.5</v>
      </c>
      <c r="E158" s="14">
        <v>190</v>
      </c>
      <c r="F158" s="14">
        <f>D158*E158</f>
        <v>665</v>
      </c>
    </row>
    <row r="159" spans="1:6" ht="18" customHeight="1" x14ac:dyDescent="0.25">
      <c r="A159" s="15"/>
      <c r="B159" s="16" t="s">
        <v>106</v>
      </c>
      <c r="C159" s="17"/>
      <c r="D159" s="17"/>
      <c r="E159" s="17"/>
      <c r="F159" s="18">
        <f>SUM(F157:F158)</f>
        <v>12515</v>
      </c>
    </row>
    <row r="160" spans="1:6" ht="18" customHeight="1" x14ac:dyDescent="0.25"/>
    <row r="161" spans="1:6" ht="18" customHeight="1" x14ac:dyDescent="0.25"/>
    <row r="162" spans="1:6" ht="18" customHeight="1" x14ac:dyDescent="0.25">
      <c r="A162" s="3"/>
      <c r="B162" s="4" t="s">
        <v>107</v>
      </c>
      <c r="C162" s="5"/>
      <c r="D162" s="5"/>
      <c r="E162" s="5"/>
      <c r="F162" s="3"/>
    </row>
    <row r="163" spans="1:6" ht="18" customHeight="1" x14ac:dyDescent="0.25">
      <c r="A163" s="6" t="s">
        <v>4</v>
      </c>
      <c r="B163" s="7" t="s">
        <v>5</v>
      </c>
      <c r="C163" s="8" t="s">
        <v>6</v>
      </c>
      <c r="D163" s="8" t="s">
        <v>7</v>
      </c>
      <c r="E163" s="8" t="s">
        <v>8</v>
      </c>
      <c r="F163" s="6" t="s">
        <v>9</v>
      </c>
    </row>
    <row r="164" spans="1:6" ht="18" customHeight="1" x14ac:dyDescent="0.25">
      <c r="A164" s="9"/>
      <c r="B164" s="10" t="s">
        <v>108</v>
      </c>
      <c r="C164" s="11"/>
      <c r="D164" s="11"/>
      <c r="E164" s="11"/>
      <c r="F164" s="9"/>
    </row>
    <row r="165" spans="1:6" ht="27.95" customHeight="1" x14ac:dyDescent="0.25">
      <c r="A165" s="12">
        <v>1</v>
      </c>
      <c r="B165" s="13" t="s">
        <v>109</v>
      </c>
      <c r="C165" s="12" t="s">
        <v>29</v>
      </c>
      <c r="D165" s="14">
        <v>115</v>
      </c>
      <c r="E165" s="14">
        <v>300</v>
      </c>
      <c r="F165" s="14">
        <f>D165*E165</f>
        <v>34500</v>
      </c>
    </row>
    <row r="166" spans="1:6" ht="18" customHeight="1" x14ac:dyDescent="0.25">
      <c r="A166" s="15"/>
      <c r="B166" s="16" t="s">
        <v>110</v>
      </c>
      <c r="C166" s="17"/>
      <c r="D166" s="17"/>
      <c r="E166" s="17"/>
      <c r="F166" s="18">
        <f>SUM(F165:F165)</f>
        <v>34500</v>
      </c>
    </row>
    <row r="167" spans="1:6" ht="18" customHeight="1" x14ac:dyDescent="0.25"/>
    <row r="168" spans="1:6" ht="18" customHeight="1" x14ac:dyDescent="0.25"/>
    <row r="169" spans="1:6" ht="18" customHeight="1" x14ac:dyDescent="0.25">
      <c r="A169" s="6" t="s">
        <v>4</v>
      </c>
      <c r="B169" s="7" t="s">
        <v>5</v>
      </c>
      <c r="C169" s="8" t="s">
        <v>6</v>
      </c>
      <c r="D169" s="8" t="s">
        <v>7</v>
      </c>
      <c r="E169" s="8" t="s">
        <v>8</v>
      </c>
      <c r="F169" s="6" t="s">
        <v>9</v>
      </c>
    </row>
    <row r="170" spans="1:6" ht="18" customHeight="1" x14ac:dyDescent="0.25">
      <c r="A170" s="9"/>
      <c r="B170" s="10" t="s">
        <v>111</v>
      </c>
      <c r="C170" s="11"/>
      <c r="D170" s="11"/>
      <c r="E170" s="11"/>
      <c r="F170" s="9"/>
    </row>
    <row r="171" spans="1:6" ht="27.95" customHeight="1" x14ac:dyDescent="0.25">
      <c r="A171" s="12">
        <v>1</v>
      </c>
      <c r="B171" s="13" t="s">
        <v>112</v>
      </c>
      <c r="C171" s="12" t="s">
        <v>17</v>
      </c>
      <c r="D171" s="14">
        <v>3</v>
      </c>
      <c r="E171" s="14">
        <v>3200</v>
      </c>
      <c r="F171" s="14">
        <f>D171*E171</f>
        <v>9600</v>
      </c>
    </row>
    <row r="172" spans="1:6" ht="18" customHeight="1" x14ac:dyDescent="0.25">
      <c r="A172" s="15"/>
      <c r="B172" s="16" t="s">
        <v>113</v>
      </c>
      <c r="C172" s="17"/>
      <c r="D172" s="17"/>
      <c r="E172" s="17"/>
      <c r="F172" s="18">
        <f>SUM(F171:F171)</f>
        <v>9600</v>
      </c>
    </row>
    <row r="173" spans="1:6" ht="18" customHeight="1" x14ac:dyDescent="0.25"/>
    <row r="174" spans="1:6" ht="18" customHeight="1" x14ac:dyDescent="0.25"/>
    <row r="175" spans="1:6" ht="18" customHeight="1" x14ac:dyDescent="0.25">
      <c r="A175" s="6" t="s">
        <v>4</v>
      </c>
      <c r="B175" s="7" t="s">
        <v>5</v>
      </c>
      <c r="C175" s="8" t="s">
        <v>6</v>
      </c>
      <c r="D175" s="8" t="s">
        <v>7</v>
      </c>
      <c r="E175" s="8" t="s">
        <v>8</v>
      </c>
      <c r="F175" s="6" t="s">
        <v>9</v>
      </c>
    </row>
    <row r="176" spans="1:6" ht="18" customHeight="1" x14ac:dyDescent="0.25">
      <c r="A176" s="9"/>
      <c r="B176" s="10" t="s">
        <v>114</v>
      </c>
      <c r="C176" s="11"/>
      <c r="D176" s="11"/>
      <c r="E176" s="11"/>
      <c r="F176" s="9"/>
    </row>
    <row r="177" spans="1:6" ht="18" customHeight="1" x14ac:dyDescent="0.25">
      <c r="A177" s="12">
        <v>1</v>
      </c>
      <c r="B177" s="13" t="s">
        <v>115</v>
      </c>
      <c r="C177" s="12" t="s">
        <v>65</v>
      </c>
      <c r="D177" s="14">
        <v>56</v>
      </c>
      <c r="E177" s="14">
        <v>150</v>
      </c>
      <c r="F177" s="14">
        <f>D177*E177</f>
        <v>8400</v>
      </c>
    </row>
    <row r="178" spans="1:6" ht="18" customHeight="1" x14ac:dyDescent="0.25">
      <c r="A178" s="15"/>
      <c r="B178" s="16" t="s">
        <v>116</v>
      </c>
      <c r="C178" s="17"/>
      <c r="D178" s="17"/>
      <c r="E178" s="17"/>
      <c r="F178" s="18">
        <f>SUM(F177:F177)</f>
        <v>8400</v>
      </c>
    </row>
    <row r="179" spans="1:6" ht="18" customHeight="1" x14ac:dyDescent="0.25"/>
    <row r="180" spans="1:6" ht="18" customHeight="1" x14ac:dyDescent="0.25"/>
    <row r="181" spans="1:6" ht="18" customHeight="1" x14ac:dyDescent="0.25">
      <c r="A181" s="6" t="s">
        <v>4</v>
      </c>
      <c r="B181" s="7" t="s">
        <v>5</v>
      </c>
      <c r="C181" s="8" t="s">
        <v>6</v>
      </c>
      <c r="D181" s="8" t="s">
        <v>7</v>
      </c>
      <c r="E181" s="8" t="s">
        <v>8</v>
      </c>
      <c r="F181" s="6" t="s">
        <v>9</v>
      </c>
    </row>
    <row r="182" spans="1:6" ht="18" customHeight="1" x14ac:dyDescent="0.25">
      <c r="A182" s="9"/>
      <c r="B182" s="10" t="s">
        <v>117</v>
      </c>
      <c r="C182" s="11"/>
      <c r="D182" s="11"/>
      <c r="E182" s="11"/>
      <c r="F182" s="9"/>
    </row>
    <row r="183" spans="1:6" ht="18" customHeight="1" x14ac:dyDescent="0.25">
      <c r="A183" s="12">
        <v>1</v>
      </c>
      <c r="B183" s="13" t="s">
        <v>118</v>
      </c>
      <c r="C183" s="12" t="s">
        <v>65</v>
      </c>
      <c r="D183" s="14">
        <v>120</v>
      </c>
      <c r="E183" s="14">
        <v>145</v>
      </c>
      <c r="F183" s="14">
        <f>D183*E183</f>
        <v>17400</v>
      </c>
    </row>
    <row r="184" spans="1:6" ht="18" customHeight="1" x14ac:dyDescent="0.25">
      <c r="A184" s="12">
        <v>2</v>
      </c>
      <c r="B184" s="13" t="s">
        <v>119</v>
      </c>
      <c r="C184" s="12" t="s">
        <v>65</v>
      </c>
      <c r="D184" s="14">
        <v>5</v>
      </c>
      <c r="E184" s="14">
        <v>130</v>
      </c>
      <c r="F184" s="14">
        <f>D184*E184</f>
        <v>650</v>
      </c>
    </row>
    <row r="185" spans="1:6" ht="18" customHeight="1" x14ac:dyDescent="0.25">
      <c r="A185" s="12">
        <v>3</v>
      </c>
      <c r="B185" s="13" t="s">
        <v>120</v>
      </c>
      <c r="C185" s="12" t="s">
        <v>65</v>
      </c>
      <c r="D185" s="14">
        <v>40</v>
      </c>
      <c r="E185" s="14">
        <v>135</v>
      </c>
      <c r="F185" s="14">
        <f>D185*E185</f>
        <v>5400</v>
      </c>
    </row>
    <row r="186" spans="1:6" ht="18" customHeight="1" x14ac:dyDescent="0.25">
      <c r="A186" s="12">
        <v>4</v>
      </c>
      <c r="B186" s="13" t="s">
        <v>121</v>
      </c>
      <c r="C186" s="12" t="s">
        <v>65</v>
      </c>
      <c r="D186" s="14">
        <v>80</v>
      </c>
      <c r="E186" s="14">
        <v>80</v>
      </c>
      <c r="F186" s="14">
        <f>D186*E186</f>
        <v>6400</v>
      </c>
    </row>
    <row r="187" spans="1:6" ht="18" customHeight="1" x14ac:dyDescent="0.25">
      <c r="A187" s="15"/>
      <c r="B187" s="16" t="s">
        <v>122</v>
      </c>
      <c r="C187" s="17"/>
      <c r="D187" s="17"/>
      <c r="E187" s="17"/>
      <c r="F187" s="18">
        <f>SUM(F183:F186)</f>
        <v>29850</v>
      </c>
    </row>
    <row r="188" spans="1:6" ht="18" customHeight="1" x14ac:dyDescent="0.25"/>
    <row r="189" spans="1:6" ht="18" customHeight="1" x14ac:dyDescent="0.25"/>
    <row r="190" spans="1:6" ht="18" customHeight="1" x14ac:dyDescent="0.25">
      <c r="A190" s="6" t="s">
        <v>4</v>
      </c>
      <c r="B190" s="7" t="s">
        <v>5</v>
      </c>
      <c r="C190" s="8" t="s">
        <v>6</v>
      </c>
      <c r="D190" s="8" t="s">
        <v>7</v>
      </c>
      <c r="E190" s="8" t="s">
        <v>8</v>
      </c>
      <c r="F190" s="6" t="s">
        <v>9</v>
      </c>
    </row>
    <row r="191" spans="1:6" ht="18" customHeight="1" x14ac:dyDescent="0.25">
      <c r="A191" s="9"/>
      <c r="B191" s="10" t="s">
        <v>123</v>
      </c>
      <c r="C191" s="11"/>
      <c r="D191" s="11"/>
      <c r="E191" s="11"/>
      <c r="F191" s="9"/>
    </row>
    <row r="192" spans="1:6" ht="27.95" customHeight="1" x14ac:dyDescent="0.25">
      <c r="A192" s="12">
        <v>1</v>
      </c>
      <c r="B192" s="13" t="s">
        <v>124</v>
      </c>
      <c r="C192" s="12" t="s">
        <v>17</v>
      </c>
      <c r="D192" s="14">
        <v>3</v>
      </c>
      <c r="E192" s="14">
        <v>780</v>
      </c>
      <c r="F192" s="14">
        <f>D192*E192</f>
        <v>2340</v>
      </c>
    </row>
    <row r="193" spans="1:6" ht="18" customHeight="1" x14ac:dyDescent="0.25">
      <c r="A193" s="15"/>
      <c r="B193" s="16" t="s">
        <v>125</v>
      </c>
      <c r="C193" s="17"/>
      <c r="D193" s="17"/>
      <c r="E193" s="17"/>
      <c r="F193" s="18">
        <f>SUM(F192:F192)</f>
        <v>2340</v>
      </c>
    </row>
    <row r="194" spans="1:6" ht="18" customHeight="1" x14ac:dyDescent="0.25"/>
    <row r="195" spans="1:6" ht="18" customHeight="1" x14ac:dyDescent="0.25"/>
    <row r="196" spans="1:6" ht="18" customHeight="1" x14ac:dyDescent="0.25">
      <c r="A196" s="6" t="s">
        <v>4</v>
      </c>
      <c r="B196" s="7" t="s">
        <v>5</v>
      </c>
      <c r="C196" s="8" t="s">
        <v>6</v>
      </c>
      <c r="D196" s="8" t="s">
        <v>7</v>
      </c>
      <c r="E196" s="8" t="s">
        <v>8</v>
      </c>
      <c r="F196" s="6" t="s">
        <v>9</v>
      </c>
    </row>
    <row r="197" spans="1:6" ht="18" customHeight="1" x14ac:dyDescent="0.25">
      <c r="A197" s="9"/>
      <c r="B197" s="10" t="s">
        <v>126</v>
      </c>
      <c r="C197" s="11"/>
      <c r="D197" s="11"/>
      <c r="E197" s="11"/>
      <c r="F197" s="9"/>
    </row>
    <row r="198" spans="1:6" ht="66" customHeight="1" x14ac:dyDescent="0.25">
      <c r="A198" s="12">
        <v>1</v>
      </c>
      <c r="B198" s="13" t="s">
        <v>127</v>
      </c>
      <c r="C198" s="12" t="s">
        <v>19</v>
      </c>
      <c r="D198" s="14">
        <v>1</v>
      </c>
      <c r="E198" s="14">
        <v>18500</v>
      </c>
      <c r="F198" s="14">
        <f>D198*E198</f>
        <v>18500</v>
      </c>
    </row>
    <row r="199" spans="1:6" ht="18" customHeight="1" x14ac:dyDescent="0.25">
      <c r="A199" s="15"/>
      <c r="B199" s="16" t="s">
        <v>128</v>
      </c>
      <c r="C199" s="17"/>
      <c r="D199" s="17"/>
      <c r="E199" s="17"/>
      <c r="F199" s="18">
        <f>SUM(F198:F198)</f>
        <v>18500</v>
      </c>
    </row>
    <row r="200" spans="1:6" ht="18" customHeight="1" x14ac:dyDescent="0.25"/>
    <row r="201" spans="1:6" ht="18" customHeight="1" x14ac:dyDescent="0.25"/>
    <row r="202" spans="1:6" ht="18" customHeight="1" x14ac:dyDescent="0.25">
      <c r="A202" s="6" t="s">
        <v>4</v>
      </c>
      <c r="B202" s="7" t="s">
        <v>5</v>
      </c>
      <c r="C202" s="8" t="s">
        <v>6</v>
      </c>
      <c r="D202" s="8" t="s">
        <v>7</v>
      </c>
      <c r="E202" s="8" t="s">
        <v>8</v>
      </c>
      <c r="F202" s="6" t="s">
        <v>9</v>
      </c>
    </row>
    <row r="203" spans="1:6" ht="18" customHeight="1" x14ac:dyDescent="0.25">
      <c r="A203" s="9"/>
      <c r="B203" s="10" t="s">
        <v>129</v>
      </c>
      <c r="C203" s="11"/>
      <c r="D203" s="11"/>
      <c r="E203" s="11"/>
      <c r="F203" s="9"/>
    </row>
    <row r="204" spans="1:6" ht="56.1" customHeight="1" x14ac:dyDescent="0.25">
      <c r="A204" s="12">
        <v>1</v>
      </c>
      <c r="B204" s="13" t="s">
        <v>130</v>
      </c>
      <c r="C204" s="12" t="s">
        <v>17</v>
      </c>
      <c r="D204" s="14">
        <v>27</v>
      </c>
      <c r="E204" s="14">
        <v>980</v>
      </c>
      <c r="F204" s="14">
        <f>D204*E204</f>
        <v>26460</v>
      </c>
    </row>
    <row r="205" spans="1:6" ht="18" customHeight="1" x14ac:dyDescent="0.25">
      <c r="A205" s="12">
        <v>2</v>
      </c>
      <c r="B205" s="13" t="s">
        <v>131</v>
      </c>
      <c r="C205" s="12" t="s">
        <v>29</v>
      </c>
      <c r="D205" s="14">
        <v>16</v>
      </c>
      <c r="E205" s="14">
        <v>320</v>
      </c>
      <c r="F205" s="14">
        <f>D205*E205</f>
        <v>5120</v>
      </c>
    </row>
    <row r="206" spans="1:6" ht="18" customHeight="1" x14ac:dyDescent="0.25">
      <c r="A206" s="12">
        <v>3</v>
      </c>
      <c r="B206" s="13" t="s">
        <v>132</v>
      </c>
      <c r="C206" s="12" t="s">
        <v>65</v>
      </c>
      <c r="D206" s="14">
        <v>36</v>
      </c>
      <c r="E206" s="14">
        <v>65</v>
      </c>
      <c r="F206" s="14">
        <f>D206*E206</f>
        <v>2340</v>
      </c>
    </row>
    <row r="207" spans="1:6" ht="18" customHeight="1" x14ac:dyDescent="0.25">
      <c r="A207" s="15"/>
      <c r="B207" s="16" t="s">
        <v>133</v>
      </c>
      <c r="C207" s="17"/>
      <c r="D207" s="17"/>
      <c r="E207" s="17"/>
      <c r="F207" s="18">
        <f>SUM(F204:F206)</f>
        <v>33920</v>
      </c>
    </row>
    <row r="208" spans="1:6" ht="18" customHeight="1" x14ac:dyDescent="0.25"/>
    <row r="209" spans="1:6" ht="18" customHeight="1" x14ac:dyDescent="0.25"/>
    <row r="210" spans="1:6" ht="18" customHeight="1" x14ac:dyDescent="0.25">
      <c r="A210" s="6" t="s">
        <v>4</v>
      </c>
      <c r="B210" s="7" t="s">
        <v>5</v>
      </c>
      <c r="C210" s="8" t="s">
        <v>6</v>
      </c>
      <c r="D210" s="8" t="s">
        <v>7</v>
      </c>
      <c r="E210" s="8" t="s">
        <v>8</v>
      </c>
      <c r="F210" s="6" t="s">
        <v>9</v>
      </c>
    </row>
    <row r="211" spans="1:6" ht="18" customHeight="1" x14ac:dyDescent="0.25">
      <c r="A211" s="9"/>
      <c r="B211" s="10" t="s">
        <v>134</v>
      </c>
      <c r="C211" s="11"/>
      <c r="D211" s="11"/>
      <c r="E211" s="11"/>
      <c r="F211" s="9"/>
    </row>
    <row r="212" spans="1:6" ht="42" customHeight="1" x14ac:dyDescent="0.25">
      <c r="A212" s="12">
        <v>1</v>
      </c>
      <c r="B212" s="13" t="s">
        <v>135</v>
      </c>
      <c r="C212" s="12" t="s">
        <v>29</v>
      </c>
      <c r="D212" s="14">
        <v>22</v>
      </c>
      <c r="E212" s="14">
        <v>480</v>
      </c>
      <c r="F212" s="14">
        <f>D212*E212</f>
        <v>10560</v>
      </c>
    </row>
    <row r="213" spans="1:6" ht="18" customHeight="1" x14ac:dyDescent="0.25">
      <c r="A213" s="15"/>
      <c r="B213" s="16" t="s">
        <v>136</v>
      </c>
      <c r="C213" s="17"/>
      <c r="D213" s="17"/>
      <c r="E213" s="17"/>
      <c r="F213" s="18">
        <f>SUM(F212:F212)</f>
        <v>10560</v>
      </c>
    </row>
    <row r="214" spans="1:6" ht="18" customHeight="1" x14ac:dyDescent="0.25"/>
    <row r="215" spans="1:6" ht="18" customHeight="1" x14ac:dyDescent="0.25"/>
    <row r="216" spans="1:6" ht="18" customHeight="1" x14ac:dyDescent="0.25">
      <c r="A216" s="6" t="s">
        <v>4</v>
      </c>
      <c r="B216" s="7" t="s">
        <v>5</v>
      </c>
      <c r="C216" s="8" t="s">
        <v>6</v>
      </c>
      <c r="D216" s="8" t="s">
        <v>7</v>
      </c>
      <c r="E216" s="8" t="s">
        <v>8</v>
      </c>
      <c r="F216" s="6" t="s">
        <v>9</v>
      </c>
    </row>
    <row r="217" spans="1:6" ht="18" customHeight="1" x14ac:dyDescent="0.25">
      <c r="A217" s="9"/>
      <c r="B217" s="10" t="s">
        <v>99</v>
      </c>
      <c r="C217" s="11"/>
      <c r="D217" s="11"/>
      <c r="E217" s="11"/>
      <c r="F217" s="9"/>
    </row>
    <row r="218" spans="1:6" ht="18" customHeight="1" x14ac:dyDescent="0.25">
      <c r="A218" s="12">
        <v>1</v>
      </c>
      <c r="B218" s="13" t="s">
        <v>137</v>
      </c>
      <c r="C218" s="12" t="s">
        <v>17</v>
      </c>
      <c r="D218" s="14">
        <v>3</v>
      </c>
      <c r="E218" s="14">
        <v>360</v>
      </c>
      <c r="F218" s="14">
        <f>D218*E218</f>
        <v>1080</v>
      </c>
    </row>
    <row r="219" spans="1:6" ht="18" customHeight="1" x14ac:dyDescent="0.25">
      <c r="A219" s="12">
        <v>2</v>
      </c>
      <c r="B219" s="13" t="s">
        <v>138</v>
      </c>
      <c r="C219" s="12" t="s">
        <v>17</v>
      </c>
      <c r="D219" s="14">
        <v>3</v>
      </c>
      <c r="E219" s="14">
        <v>840</v>
      </c>
      <c r="F219" s="14">
        <f>D219*E219</f>
        <v>2520</v>
      </c>
    </row>
    <row r="220" spans="1:6" ht="18" customHeight="1" x14ac:dyDescent="0.25">
      <c r="A220" s="15"/>
      <c r="B220" s="16" t="s">
        <v>101</v>
      </c>
      <c r="C220" s="17"/>
      <c r="D220" s="17"/>
      <c r="E220" s="17"/>
      <c r="F220" s="18">
        <f>SUM(F218:F219)</f>
        <v>3600</v>
      </c>
    </row>
    <row r="221" spans="1:6" ht="18" customHeight="1" x14ac:dyDescent="0.25"/>
    <row r="222" spans="1:6" ht="18" customHeight="1" x14ac:dyDescent="0.25"/>
    <row r="223" spans="1:6" ht="18" customHeight="1" x14ac:dyDescent="0.25">
      <c r="A223" s="3"/>
      <c r="B223" s="4" t="s">
        <v>139</v>
      </c>
      <c r="C223" s="5"/>
      <c r="D223" s="5"/>
      <c r="E223" s="5"/>
      <c r="F223" s="3"/>
    </row>
    <row r="224" spans="1:6" ht="18" customHeight="1" x14ac:dyDescent="0.25">
      <c r="A224" s="6" t="s">
        <v>4</v>
      </c>
      <c r="B224" s="7" t="s">
        <v>5</v>
      </c>
      <c r="C224" s="8" t="s">
        <v>6</v>
      </c>
      <c r="D224" s="8" t="s">
        <v>7</v>
      </c>
      <c r="E224" s="8" t="s">
        <v>8</v>
      </c>
      <c r="F224" s="6" t="s">
        <v>9</v>
      </c>
    </row>
    <row r="225" spans="1:6" ht="18" customHeight="1" x14ac:dyDescent="0.25">
      <c r="A225" s="9"/>
      <c r="B225" s="10" t="s">
        <v>140</v>
      </c>
      <c r="C225" s="11"/>
      <c r="D225" s="11"/>
      <c r="E225" s="11"/>
      <c r="F225" s="9"/>
    </row>
    <row r="226" spans="1:6" ht="18" customHeight="1" x14ac:dyDescent="0.25">
      <c r="A226" s="12">
        <v>1</v>
      </c>
      <c r="B226" s="13" t="s">
        <v>141</v>
      </c>
      <c r="C226" s="12" t="s">
        <v>17</v>
      </c>
      <c r="D226" s="14">
        <v>3</v>
      </c>
      <c r="E226" s="14">
        <v>1650</v>
      </c>
      <c r="F226" s="14">
        <f>D226*E226</f>
        <v>4950</v>
      </c>
    </row>
    <row r="227" spans="1:6" ht="18" customHeight="1" x14ac:dyDescent="0.25">
      <c r="A227" s="15"/>
      <c r="B227" s="16" t="s">
        <v>142</v>
      </c>
      <c r="C227" s="17"/>
      <c r="D227" s="17"/>
      <c r="E227" s="17"/>
      <c r="F227" s="18">
        <f>SUM(F226:F226)</f>
        <v>4950</v>
      </c>
    </row>
    <row r="228" spans="1:6" ht="18" customHeight="1" x14ac:dyDescent="0.25"/>
    <row r="229" spans="1:6" ht="18" customHeight="1" x14ac:dyDescent="0.25"/>
    <row r="230" spans="1:6" ht="18" customHeight="1" x14ac:dyDescent="0.25">
      <c r="A230" s="6" t="s">
        <v>4</v>
      </c>
      <c r="B230" s="7" t="s">
        <v>5</v>
      </c>
      <c r="C230" s="8" t="s">
        <v>6</v>
      </c>
      <c r="D230" s="8" t="s">
        <v>7</v>
      </c>
      <c r="E230" s="8" t="s">
        <v>8</v>
      </c>
      <c r="F230" s="6" t="s">
        <v>9</v>
      </c>
    </row>
    <row r="231" spans="1:6" ht="18" customHeight="1" x14ac:dyDescent="0.25">
      <c r="A231" s="9"/>
      <c r="B231" s="10" t="s">
        <v>143</v>
      </c>
      <c r="C231" s="11"/>
      <c r="D231" s="11"/>
      <c r="E231" s="11"/>
      <c r="F231" s="9"/>
    </row>
    <row r="232" spans="1:6" ht="18" customHeight="1" x14ac:dyDescent="0.25">
      <c r="A232" s="12">
        <v>1</v>
      </c>
      <c r="B232" s="13" t="s">
        <v>144</v>
      </c>
      <c r="C232" s="12" t="s">
        <v>17</v>
      </c>
      <c r="D232" s="14">
        <v>6</v>
      </c>
      <c r="E232" s="14">
        <v>4800</v>
      </c>
      <c r="F232" s="14">
        <f>D232*E232</f>
        <v>28800</v>
      </c>
    </row>
    <row r="233" spans="1:6" ht="18" customHeight="1" x14ac:dyDescent="0.25">
      <c r="A233" s="15"/>
      <c r="B233" s="16" t="s">
        <v>145</v>
      </c>
      <c r="C233" s="17"/>
      <c r="D233" s="17"/>
      <c r="E233" s="17"/>
      <c r="F233" s="18">
        <f>SUM(F232:F232)</f>
        <v>28800</v>
      </c>
    </row>
    <row r="234" spans="1:6" ht="18" customHeight="1" x14ac:dyDescent="0.25"/>
    <row r="235" spans="1:6" ht="18" customHeight="1" x14ac:dyDescent="0.25"/>
    <row r="236" spans="1:6" ht="18" customHeight="1" x14ac:dyDescent="0.25">
      <c r="A236" s="3"/>
      <c r="B236" s="4" t="s">
        <v>146</v>
      </c>
      <c r="C236" s="5"/>
      <c r="D236" s="5"/>
      <c r="E236" s="5"/>
      <c r="F236" s="3"/>
    </row>
    <row r="237" spans="1:6" ht="18" customHeight="1" x14ac:dyDescent="0.25">
      <c r="A237" s="6" t="s">
        <v>4</v>
      </c>
      <c r="B237" s="7" t="s">
        <v>5</v>
      </c>
      <c r="C237" s="8" t="s">
        <v>6</v>
      </c>
      <c r="D237" s="8" t="s">
        <v>7</v>
      </c>
      <c r="E237" s="8" t="s">
        <v>8</v>
      </c>
      <c r="F237" s="6" t="s">
        <v>9</v>
      </c>
    </row>
    <row r="238" spans="1:6" ht="18" customHeight="1" x14ac:dyDescent="0.25">
      <c r="A238" s="9"/>
      <c r="B238" s="10" t="s">
        <v>147</v>
      </c>
      <c r="C238" s="11"/>
      <c r="D238" s="11"/>
      <c r="E238" s="11"/>
      <c r="F238" s="9"/>
    </row>
    <row r="239" spans="1:6" ht="18" customHeight="1" x14ac:dyDescent="0.25">
      <c r="A239" s="12">
        <v>1</v>
      </c>
      <c r="B239" s="13" t="s">
        <v>148</v>
      </c>
      <c r="C239" s="12" t="s">
        <v>65</v>
      </c>
      <c r="D239" s="14">
        <v>10</v>
      </c>
      <c r="E239" s="14">
        <v>85</v>
      </c>
      <c r="F239" s="14">
        <f>D239*E239</f>
        <v>850</v>
      </c>
    </row>
    <row r="240" spans="1:6" ht="18" customHeight="1" x14ac:dyDescent="0.25">
      <c r="A240" s="12">
        <v>2</v>
      </c>
      <c r="B240" s="13" t="s">
        <v>149</v>
      </c>
      <c r="C240" s="12" t="s">
        <v>65</v>
      </c>
      <c r="D240" s="14">
        <v>10</v>
      </c>
      <c r="E240" s="14">
        <v>70</v>
      </c>
      <c r="F240" s="14">
        <f>D240*E240</f>
        <v>700</v>
      </c>
    </row>
    <row r="241" spans="1:6" ht="18" customHeight="1" x14ac:dyDescent="0.25">
      <c r="A241" s="15"/>
      <c r="B241" s="16" t="s">
        <v>150</v>
      </c>
      <c r="C241" s="17"/>
      <c r="D241" s="17"/>
      <c r="E241" s="17"/>
      <c r="F241" s="18">
        <f>SUM(F239:F240)</f>
        <v>1550</v>
      </c>
    </row>
    <row r="242" spans="1:6" ht="18" customHeight="1" x14ac:dyDescent="0.25"/>
    <row r="243" spans="1:6" ht="18" customHeight="1" x14ac:dyDescent="0.25"/>
    <row r="244" spans="1:6" ht="18" customHeight="1" x14ac:dyDescent="0.25">
      <c r="A244" s="6" t="s">
        <v>4</v>
      </c>
      <c r="B244" s="7" t="s">
        <v>5</v>
      </c>
      <c r="C244" s="8" t="s">
        <v>6</v>
      </c>
      <c r="D244" s="8" t="s">
        <v>7</v>
      </c>
      <c r="E244" s="8" t="s">
        <v>8</v>
      </c>
      <c r="F244" s="6" t="s">
        <v>9</v>
      </c>
    </row>
    <row r="245" spans="1:6" ht="18" customHeight="1" x14ac:dyDescent="0.25">
      <c r="A245" s="9"/>
      <c r="B245" s="10" t="s">
        <v>151</v>
      </c>
      <c r="C245" s="11"/>
      <c r="D245" s="11"/>
      <c r="E245" s="11"/>
      <c r="F245" s="9"/>
    </row>
    <row r="246" spans="1:6" ht="18" customHeight="1" x14ac:dyDescent="0.25">
      <c r="A246" s="12">
        <v>1</v>
      </c>
      <c r="B246" s="13" t="s">
        <v>152</v>
      </c>
      <c r="C246" s="12" t="s">
        <v>17</v>
      </c>
      <c r="D246" s="14">
        <v>1</v>
      </c>
      <c r="E246" s="14">
        <v>16800</v>
      </c>
      <c r="F246" s="14">
        <f>D246*E246</f>
        <v>16800</v>
      </c>
    </row>
    <row r="247" spans="1:6" ht="18" customHeight="1" x14ac:dyDescent="0.25">
      <c r="A247" s="15"/>
      <c r="B247" s="16" t="s">
        <v>153</v>
      </c>
      <c r="C247" s="17"/>
      <c r="D247" s="17"/>
      <c r="E247" s="17"/>
      <c r="F247" s="18">
        <f>SUM(F246:F246)</f>
        <v>16800</v>
      </c>
    </row>
    <row r="248" spans="1:6" ht="18" customHeight="1" x14ac:dyDescent="0.25"/>
    <row r="249" spans="1:6" ht="18" customHeight="1" x14ac:dyDescent="0.25"/>
    <row r="250" spans="1:6" ht="18" customHeight="1" x14ac:dyDescent="0.25">
      <c r="A250" s="6" t="s">
        <v>4</v>
      </c>
      <c r="B250" s="7" t="s">
        <v>5</v>
      </c>
      <c r="C250" s="8" t="s">
        <v>6</v>
      </c>
      <c r="D250" s="8" t="s">
        <v>7</v>
      </c>
      <c r="E250" s="8" t="s">
        <v>8</v>
      </c>
      <c r="F250" s="6" t="s">
        <v>9</v>
      </c>
    </row>
    <row r="251" spans="1:6" ht="18" customHeight="1" x14ac:dyDescent="0.25">
      <c r="A251" s="9"/>
      <c r="B251" s="10" t="s">
        <v>154</v>
      </c>
      <c r="C251" s="11"/>
      <c r="D251" s="11"/>
      <c r="E251" s="11"/>
      <c r="F251" s="9"/>
    </row>
    <row r="252" spans="1:6" ht="27.95" customHeight="1" x14ac:dyDescent="0.25">
      <c r="A252" s="12">
        <v>1</v>
      </c>
      <c r="B252" s="13" t="s">
        <v>155</v>
      </c>
      <c r="C252" s="12" t="s">
        <v>17</v>
      </c>
      <c r="D252" s="14">
        <v>1</v>
      </c>
      <c r="E252" s="14">
        <v>280</v>
      </c>
      <c r="F252" s="14">
        <f>D252*E252</f>
        <v>280</v>
      </c>
    </row>
    <row r="253" spans="1:6" ht="27.95" customHeight="1" x14ac:dyDescent="0.25">
      <c r="A253" s="12">
        <v>2</v>
      </c>
      <c r="B253" s="13" t="s">
        <v>156</v>
      </c>
      <c r="C253" s="12" t="s">
        <v>17</v>
      </c>
      <c r="D253" s="14">
        <v>3</v>
      </c>
      <c r="E253" s="14">
        <v>220</v>
      </c>
      <c r="F253" s="14">
        <f>D253*E253</f>
        <v>660</v>
      </c>
    </row>
    <row r="254" spans="1:6" ht="27.95" customHeight="1" x14ac:dyDescent="0.25">
      <c r="A254" s="12">
        <v>3</v>
      </c>
      <c r="B254" s="13" t="s">
        <v>157</v>
      </c>
      <c r="C254" s="12" t="s">
        <v>17</v>
      </c>
      <c r="D254" s="14">
        <v>3</v>
      </c>
      <c r="E254" s="14">
        <v>180</v>
      </c>
      <c r="F254" s="14">
        <f>D254*E254</f>
        <v>540</v>
      </c>
    </row>
    <row r="255" spans="1:6" ht="18" customHeight="1" x14ac:dyDescent="0.25">
      <c r="A255" s="12">
        <v>4</v>
      </c>
      <c r="B255" s="13" t="s">
        <v>158</v>
      </c>
      <c r="C255" s="12" t="s">
        <v>17</v>
      </c>
      <c r="D255" s="14">
        <v>1</v>
      </c>
      <c r="E255" s="14">
        <v>1600</v>
      </c>
      <c r="F255" s="14">
        <f>D255*E255</f>
        <v>1600</v>
      </c>
    </row>
    <row r="256" spans="1:6" ht="18" customHeight="1" x14ac:dyDescent="0.25">
      <c r="A256" s="12">
        <v>5</v>
      </c>
      <c r="B256" s="13" t="s">
        <v>159</v>
      </c>
      <c r="C256" s="12" t="s">
        <v>19</v>
      </c>
      <c r="D256" s="14">
        <v>1</v>
      </c>
      <c r="E256" s="14">
        <v>9500</v>
      </c>
      <c r="F256" s="14">
        <f>D256*E256</f>
        <v>9500</v>
      </c>
    </row>
    <row r="257" spans="1:6" ht="18" customHeight="1" x14ac:dyDescent="0.25">
      <c r="A257" s="15"/>
      <c r="B257" s="16" t="s">
        <v>160</v>
      </c>
      <c r="C257" s="17"/>
      <c r="D257" s="17"/>
      <c r="E257" s="17"/>
      <c r="F257" s="18">
        <f>SUM(F252:F256)</f>
        <v>12580</v>
      </c>
    </row>
    <row r="258" spans="1:6" ht="18" customHeight="1" x14ac:dyDescent="0.25"/>
    <row r="259" spans="1:6" ht="18" customHeight="1" x14ac:dyDescent="0.25"/>
    <row r="260" spans="1:6" ht="18" customHeight="1" x14ac:dyDescent="0.25">
      <c r="A260" s="6" t="s">
        <v>4</v>
      </c>
      <c r="B260" s="7" t="s">
        <v>5</v>
      </c>
      <c r="C260" s="8" t="s">
        <v>6</v>
      </c>
      <c r="D260" s="8" t="s">
        <v>7</v>
      </c>
      <c r="E260" s="8" t="s">
        <v>8</v>
      </c>
      <c r="F260" s="6" t="s">
        <v>9</v>
      </c>
    </row>
    <row r="261" spans="1:6" ht="18" customHeight="1" x14ac:dyDescent="0.25">
      <c r="A261" s="9"/>
      <c r="B261" s="10" t="s">
        <v>161</v>
      </c>
      <c r="C261" s="11"/>
      <c r="D261" s="11"/>
      <c r="E261" s="11"/>
      <c r="F261" s="9"/>
    </row>
    <row r="262" spans="1:6" ht="18" customHeight="1" x14ac:dyDescent="0.25">
      <c r="A262" s="12">
        <v>1</v>
      </c>
      <c r="B262" s="13" t="s">
        <v>162</v>
      </c>
      <c r="C262" s="12" t="s">
        <v>65</v>
      </c>
      <c r="D262" s="14">
        <v>15</v>
      </c>
      <c r="E262" s="14">
        <v>160</v>
      </c>
      <c r="F262" s="14">
        <f>D262*E262</f>
        <v>2400</v>
      </c>
    </row>
    <row r="263" spans="1:6" ht="18" customHeight="1" x14ac:dyDescent="0.25">
      <c r="A263" s="12">
        <v>2</v>
      </c>
      <c r="B263" s="13" t="s">
        <v>163</v>
      </c>
      <c r="C263" s="12" t="s">
        <v>65</v>
      </c>
      <c r="D263" s="14">
        <v>10</v>
      </c>
      <c r="E263" s="14">
        <v>120</v>
      </c>
      <c r="F263" s="14">
        <f>D263*E263</f>
        <v>1200</v>
      </c>
    </row>
    <row r="264" spans="1:6" ht="18" customHeight="1" x14ac:dyDescent="0.25">
      <c r="A264" s="12">
        <v>3</v>
      </c>
      <c r="B264" s="13" t="s">
        <v>164</v>
      </c>
      <c r="C264" s="12" t="s">
        <v>19</v>
      </c>
      <c r="D264" s="14">
        <v>1</v>
      </c>
      <c r="E264" s="14">
        <v>3200</v>
      </c>
      <c r="F264" s="14">
        <f>D264*E264</f>
        <v>3200</v>
      </c>
    </row>
    <row r="265" spans="1:6" ht="18" customHeight="1" x14ac:dyDescent="0.25">
      <c r="A265" s="15"/>
      <c r="B265" s="16" t="s">
        <v>165</v>
      </c>
      <c r="C265" s="17"/>
      <c r="D265" s="17"/>
      <c r="E265" s="17"/>
      <c r="F265" s="18">
        <f>SUM(F262:F264)</f>
        <v>6800</v>
      </c>
    </row>
    <row r="266" spans="1:6" ht="18" customHeight="1" x14ac:dyDescent="0.25"/>
    <row r="267" spans="1:6" ht="18" customHeight="1" x14ac:dyDescent="0.25"/>
    <row r="268" spans="1:6" ht="18" customHeight="1" x14ac:dyDescent="0.25">
      <c r="A268" s="6" t="s">
        <v>4</v>
      </c>
      <c r="B268" s="7" t="s">
        <v>5</v>
      </c>
      <c r="C268" s="8" t="s">
        <v>6</v>
      </c>
      <c r="D268" s="8" t="s">
        <v>7</v>
      </c>
      <c r="E268" s="8" t="s">
        <v>8</v>
      </c>
      <c r="F268" s="6" t="s">
        <v>9</v>
      </c>
    </row>
    <row r="269" spans="1:6" ht="18" customHeight="1" x14ac:dyDescent="0.25">
      <c r="A269" s="9"/>
      <c r="B269" s="10" t="s">
        <v>166</v>
      </c>
      <c r="C269" s="11"/>
      <c r="D269" s="11"/>
      <c r="E269" s="11"/>
      <c r="F269" s="9"/>
    </row>
    <row r="270" spans="1:6" ht="42" customHeight="1" x14ac:dyDescent="0.25">
      <c r="A270" s="12">
        <v>1</v>
      </c>
      <c r="B270" s="13" t="s">
        <v>167</v>
      </c>
      <c r="C270" s="12" t="s">
        <v>17</v>
      </c>
      <c r="D270" s="14">
        <v>1</v>
      </c>
      <c r="E270" s="14">
        <v>1450</v>
      </c>
      <c r="F270" s="14">
        <f>D270*E270</f>
        <v>1450</v>
      </c>
    </row>
    <row r="271" spans="1:6" ht="66" customHeight="1" x14ac:dyDescent="0.25">
      <c r="A271" s="12">
        <v>2</v>
      </c>
      <c r="B271" s="13" t="s">
        <v>168</v>
      </c>
      <c r="C271" s="12" t="s">
        <v>17</v>
      </c>
      <c r="D271" s="14">
        <v>1</v>
      </c>
      <c r="E271" s="14">
        <v>3600</v>
      </c>
      <c r="F271" s="14">
        <f>D271*E271</f>
        <v>3600</v>
      </c>
    </row>
    <row r="272" spans="1:6" ht="18" customHeight="1" x14ac:dyDescent="0.25">
      <c r="A272" s="15"/>
      <c r="B272" s="16" t="s">
        <v>169</v>
      </c>
      <c r="C272" s="17"/>
      <c r="D272" s="17"/>
      <c r="E272" s="17"/>
      <c r="F272" s="18">
        <f>SUM(F270:F271)</f>
        <v>5050</v>
      </c>
    </row>
    <row r="273" spans="1:6" ht="18" customHeight="1" x14ac:dyDescent="0.25"/>
    <row r="274" spans="1:6" ht="18" customHeight="1" x14ac:dyDescent="0.25"/>
    <row r="275" spans="1:6" ht="18" customHeight="1" x14ac:dyDescent="0.25">
      <c r="A275" s="6" t="s">
        <v>4</v>
      </c>
      <c r="B275" s="7" t="s">
        <v>5</v>
      </c>
      <c r="C275" s="8" t="s">
        <v>6</v>
      </c>
      <c r="D275" s="8" t="s">
        <v>7</v>
      </c>
      <c r="E275" s="8" t="s">
        <v>8</v>
      </c>
      <c r="F275" s="6" t="s">
        <v>9</v>
      </c>
    </row>
    <row r="276" spans="1:6" ht="18" customHeight="1" x14ac:dyDescent="0.25">
      <c r="A276" s="9"/>
      <c r="B276" s="10" t="s">
        <v>170</v>
      </c>
      <c r="C276" s="11"/>
      <c r="D276" s="11"/>
      <c r="E276" s="11"/>
      <c r="F276" s="9"/>
    </row>
    <row r="277" spans="1:6" ht="42" customHeight="1" x14ac:dyDescent="0.25">
      <c r="A277" s="12">
        <v>1</v>
      </c>
      <c r="B277" s="13" t="s">
        <v>171</v>
      </c>
      <c r="C277" s="12" t="s">
        <v>17</v>
      </c>
      <c r="D277" s="14">
        <v>1</v>
      </c>
      <c r="E277" s="14">
        <v>7900</v>
      </c>
      <c r="F277" s="14">
        <f>D277*E277</f>
        <v>7900</v>
      </c>
    </row>
    <row r="278" spans="1:6" ht="42" customHeight="1" x14ac:dyDescent="0.25">
      <c r="A278" s="12">
        <v>2</v>
      </c>
      <c r="B278" s="13" t="s">
        <v>172</v>
      </c>
      <c r="C278" s="12" t="s">
        <v>17</v>
      </c>
      <c r="D278" s="14">
        <v>1</v>
      </c>
      <c r="E278" s="14">
        <v>19900</v>
      </c>
      <c r="F278" s="14">
        <f>D278*E278</f>
        <v>19900</v>
      </c>
    </row>
    <row r="279" spans="1:6" ht="18" customHeight="1" x14ac:dyDescent="0.25">
      <c r="A279" s="15"/>
      <c r="B279" s="16" t="s">
        <v>173</v>
      </c>
      <c r="C279" s="17"/>
      <c r="D279" s="17"/>
      <c r="E279" s="17"/>
      <c r="F279" s="18">
        <f>SUM(F277:F278)</f>
        <v>27800</v>
      </c>
    </row>
    <row r="280" spans="1:6" ht="18" customHeight="1" x14ac:dyDescent="0.25"/>
    <row r="281" spans="1:6" ht="18" customHeight="1" x14ac:dyDescent="0.25"/>
    <row r="282" spans="1:6" ht="18" customHeight="1" x14ac:dyDescent="0.25">
      <c r="A282" s="6" t="s">
        <v>4</v>
      </c>
      <c r="B282" s="7" t="s">
        <v>5</v>
      </c>
      <c r="C282" s="8" t="s">
        <v>6</v>
      </c>
      <c r="D282" s="8" t="s">
        <v>7</v>
      </c>
      <c r="E282" s="8" t="s">
        <v>8</v>
      </c>
      <c r="F282" s="6" t="s">
        <v>9</v>
      </c>
    </row>
    <row r="283" spans="1:6" ht="18" customHeight="1" x14ac:dyDescent="0.25">
      <c r="A283" s="9"/>
      <c r="B283" s="10" t="s">
        <v>174</v>
      </c>
      <c r="C283" s="11"/>
      <c r="D283" s="11"/>
      <c r="E283" s="11"/>
      <c r="F283" s="9"/>
    </row>
    <row r="284" spans="1:6" ht="27.95" customHeight="1" x14ac:dyDescent="0.25">
      <c r="A284" s="12">
        <v>1</v>
      </c>
      <c r="B284" s="13" t="s">
        <v>175</v>
      </c>
      <c r="C284" s="12" t="s">
        <v>19</v>
      </c>
      <c r="D284" s="14">
        <v>1</v>
      </c>
      <c r="E284" s="14">
        <v>23100</v>
      </c>
      <c r="F284" s="14">
        <f>D284*E284</f>
        <v>23100</v>
      </c>
    </row>
    <row r="285" spans="1:6" ht="18" customHeight="1" x14ac:dyDescent="0.25">
      <c r="A285" s="15"/>
      <c r="B285" s="16" t="s">
        <v>176</v>
      </c>
      <c r="C285" s="17"/>
      <c r="D285" s="17"/>
      <c r="E285" s="17"/>
      <c r="F285" s="18">
        <f>SUM(F284:F284)</f>
        <v>23100</v>
      </c>
    </row>
    <row r="286" spans="1:6" ht="18" customHeight="1" x14ac:dyDescent="0.25"/>
    <row r="287" spans="1:6" ht="18" customHeight="1" x14ac:dyDescent="0.25"/>
    <row r="288" spans="1:6" ht="18" customHeight="1" x14ac:dyDescent="0.25">
      <c r="A288" s="6" t="s">
        <v>4</v>
      </c>
      <c r="B288" s="7" t="s">
        <v>5</v>
      </c>
      <c r="C288" s="8" t="s">
        <v>6</v>
      </c>
      <c r="D288" s="8" t="s">
        <v>7</v>
      </c>
      <c r="E288" s="8" t="s">
        <v>8</v>
      </c>
      <c r="F288" s="6" t="s">
        <v>9</v>
      </c>
    </row>
    <row r="289" spans="1:6" ht="18" customHeight="1" x14ac:dyDescent="0.25">
      <c r="A289" s="9"/>
      <c r="B289" s="10" t="s">
        <v>177</v>
      </c>
      <c r="C289" s="11"/>
      <c r="D289" s="11"/>
      <c r="E289" s="11"/>
      <c r="F289" s="9"/>
    </row>
    <row r="290" spans="1:6" ht="27.95" customHeight="1" x14ac:dyDescent="0.25">
      <c r="A290" s="12">
        <v>1</v>
      </c>
      <c r="B290" s="13" t="s">
        <v>178</v>
      </c>
      <c r="C290" s="12" t="s">
        <v>19</v>
      </c>
      <c r="D290" s="14">
        <v>1</v>
      </c>
      <c r="E290" s="14">
        <v>23700</v>
      </c>
      <c r="F290" s="14">
        <f>D290*E290</f>
        <v>23700</v>
      </c>
    </row>
    <row r="291" spans="1:6" ht="18" customHeight="1" x14ac:dyDescent="0.25">
      <c r="A291" s="15"/>
      <c r="B291" s="16" t="s">
        <v>179</v>
      </c>
      <c r="C291" s="17"/>
      <c r="D291" s="17"/>
      <c r="E291" s="17"/>
      <c r="F291" s="18">
        <f>SUM(F290:F290)</f>
        <v>23700</v>
      </c>
    </row>
    <row r="292" spans="1:6" ht="18" customHeight="1" x14ac:dyDescent="0.25"/>
    <row r="293" spans="1:6" ht="18" customHeight="1" x14ac:dyDescent="0.25"/>
    <row r="294" spans="1:6" ht="18" customHeight="1" x14ac:dyDescent="0.25">
      <c r="A294" s="6" t="s">
        <v>4</v>
      </c>
      <c r="B294" s="7" t="s">
        <v>5</v>
      </c>
      <c r="C294" s="8" t="s">
        <v>6</v>
      </c>
      <c r="D294" s="8" t="s">
        <v>7</v>
      </c>
      <c r="E294" s="8" t="s">
        <v>8</v>
      </c>
      <c r="F294" s="6" t="s">
        <v>9</v>
      </c>
    </row>
    <row r="295" spans="1:6" ht="18" customHeight="1" x14ac:dyDescent="0.25">
      <c r="A295" s="9"/>
      <c r="B295" s="10" t="s">
        <v>180</v>
      </c>
      <c r="C295" s="11"/>
      <c r="D295" s="11"/>
      <c r="E295" s="11"/>
      <c r="F295" s="9"/>
    </row>
    <row r="296" spans="1:6" ht="18" customHeight="1" x14ac:dyDescent="0.25">
      <c r="A296" s="12">
        <v>1</v>
      </c>
      <c r="B296" s="13" t="s">
        <v>181</v>
      </c>
      <c r="C296" s="12" t="s">
        <v>19</v>
      </c>
      <c r="D296" s="14">
        <v>1</v>
      </c>
      <c r="E296" s="14">
        <v>7650</v>
      </c>
      <c r="F296" s="14">
        <f>D296*E296</f>
        <v>7650</v>
      </c>
    </row>
    <row r="297" spans="1:6" ht="18" customHeight="1" x14ac:dyDescent="0.25">
      <c r="A297" s="15"/>
      <c r="B297" s="16" t="s">
        <v>182</v>
      </c>
      <c r="C297" s="17"/>
      <c r="D297" s="17"/>
      <c r="E297" s="17"/>
      <c r="F297" s="18">
        <f>SUM(F296:F296)</f>
        <v>7650</v>
      </c>
    </row>
    <row r="298" spans="1:6" ht="18" customHeight="1" x14ac:dyDescent="0.25"/>
    <row r="299" spans="1:6" ht="18" customHeight="1" x14ac:dyDescent="0.25"/>
    <row r="300" spans="1:6" ht="18" customHeight="1" x14ac:dyDescent="0.25">
      <c r="A300" s="6" t="s">
        <v>4</v>
      </c>
      <c r="B300" s="7" t="s">
        <v>5</v>
      </c>
      <c r="C300" s="8" t="s">
        <v>6</v>
      </c>
      <c r="D300" s="8" t="s">
        <v>7</v>
      </c>
      <c r="E300" s="8" t="s">
        <v>8</v>
      </c>
      <c r="F300" s="6" t="s">
        <v>9</v>
      </c>
    </row>
    <row r="301" spans="1:6" ht="18" customHeight="1" x14ac:dyDescent="0.25">
      <c r="A301" s="9"/>
      <c r="B301" s="10" t="s">
        <v>183</v>
      </c>
      <c r="C301" s="11"/>
      <c r="D301" s="11"/>
      <c r="E301" s="11"/>
      <c r="F301" s="9"/>
    </row>
    <row r="302" spans="1:6" ht="66" customHeight="1" x14ac:dyDescent="0.25">
      <c r="A302" s="12">
        <v>1</v>
      </c>
      <c r="B302" s="13" t="s">
        <v>184</v>
      </c>
      <c r="C302" s="12" t="s">
        <v>17</v>
      </c>
      <c r="D302" s="14">
        <v>1</v>
      </c>
      <c r="E302" s="14">
        <v>8800</v>
      </c>
      <c r="F302" s="14">
        <f>D302*E302</f>
        <v>8800</v>
      </c>
    </row>
    <row r="303" spans="1:6" ht="18" customHeight="1" x14ac:dyDescent="0.25">
      <c r="A303" s="15"/>
      <c r="B303" s="16" t="s">
        <v>185</v>
      </c>
      <c r="C303" s="17"/>
      <c r="D303" s="17"/>
      <c r="E303" s="17"/>
      <c r="F303" s="18">
        <f>SUM(F302:F302)</f>
        <v>8800</v>
      </c>
    </row>
    <row r="304" spans="1:6" ht="18" customHeight="1" x14ac:dyDescent="0.25"/>
    <row r="305" spans="1:6" ht="18" customHeight="1" x14ac:dyDescent="0.25"/>
    <row r="306" spans="1:6" ht="18" customHeight="1" x14ac:dyDescent="0.25">
      <c r="A306" s="3"/>
      <c r="B306" s="4" t="s">
        <v>186</v>
      </c>
      <c r="C306" s="5"/>
      <c r="D306" s="5"/>
      <c r="E306" s="5"/>
      <c r="F306" s="3"/>
    </row>
    <row r="307" spans="1:6" ht="18" customHeight="1" x14ac:dyDescent="0.25">
      <c r="A307" s="6" t="s">
        <v>4</v>
      </c>
      <c r="B307" s="7" t="s">
        <v>5</v>
      </c>
      <c r="C307" s="8" t="s">
        <v>6</v>
      </c>
      <c r="D307" s="8" t="s">
        <v>7</v>
      </c>
      <c r="E307" s="8" t="s">
        <v>8</v>
      </c>
      <c r="F307" s="6" t="s">
        <v>9</v>
      </c>
    </row>
    <row r="308" spans="1:6" ht="18" customHeight="1" x14ac:dyDescent="0.25">
      <c r="A308" s="9"/>
      <c r="B308" s="10" t="s">
        <v>187</v>
      </c>
      <c r="C308" s="11"/>
      <c r="D308" s="11"/>
      <c r="E308" s="11"/>
      <c r="F308" s="9"/>
    </row>
    <row r="309" spans="1:6" ht="27.95" customHeight="1" x14ac:dyDescent="0.25">
      <c r="A309" s="12">
        <v>1</v>
      </c>
      <c r="B309" s="13" t="s">
        <v>188</v>
      </c>
      <c r="C309" s="12" t="s">
        <v>17</v>
      </c>
      <c r="D309" s="14">
        <v>1</v>
      </c>
      <c r="E309" s="14">
        <v>9800</v>
      </c>
      <c r="F309" s="14">
        <f>D309*E309</f>
        <v>9800</v>
      </c>
    </row>
    <row r="310" spans="1:6" ht="18" customHeight="1" x14ac:dyDescent="0.25">
      <c r="A310" s="15"/>
      <c r="B310" s="16" t="s">
        <v>189</v>
      </c>
      <c r="C310" s="17"/>
      <c r="D310" s="17"/>
      <c r="E310" s="17"/>
      <c r="F310" s="18">
        <f>SUM(F309:F309)</f>
        <v>9800</v>
      </c>
    </row>
    <row r="311" spans="1:6" ht="18" customHeight="1" x14ac:dyDescent="0.25"/>
    <row r="312" spans="1:6" ht="18" customHeight="1" x14ac:dyDescent="0.25"/>
    <row r="313" spans="1:6" ht="18" customHeight="1" x14ac:dyDescent="0.25">
      <c r="A313" s="6" t="s">
        <v>4</v>
      </c>
      <c r="B313" s="7" t="s">
        <v>5</v>
      </c>
      <c r="C313" s="8" t="s">
        <v>6</v>
      </c>
      <c r="D313" s="8" t="s">
        <v>7</v>
      </c>
      <c r="E313" s="8" t="s">
        <v>8</v>
      </c>
      <c r="F313" s="6" t="s">
        <v>9</v>
      </c>
    </row>
    <row r="314" spans="1:6" ht="18" customHeight="1" x14ac:dyDescent="0.25">
      <c r="A314" s="9"/>
      <c r="B314" s="10" t="s">
        <v>190</v>
      </c>
      <c r="C314" s="11"/>
      <c r="D314" s="11"/>
      <c r="E314" s="11"/>
      <c r="F314" s="9"/>
    </row>
    <row r="315" spans="1:6" ht="27.95" customHeight="1" x14ac:dyDescent="0.25">
      <c r="A315" s="12">
        <v>1</v>
      </c>
      <c r="B315" s="13" t="s">
        <v>191</v>
      </c>
      <c r="C315" s="12" t="s">
        <v>17</v>
      </c>
      <c r="D315" s="14">
        <v>3</v>
      </c>
      <c r="E315" s="14">
        <v>520</v>
      </c>
      <c r="F315" s="14">
        <f>D315*E315</f>
        <v>1560</v>
      </c>
    </row>
    <row r="316" spans="1:6" ht="27.95" customHeight="1" x14ac:dyDescent="0.25">
      <c r="A316" s="12">
        <v>2</v>
      </c>
      <c r="B316" s="13" t="s">
        <v>192</v>
      </c>
      <c r="C316" s="12" t="s">
        <v>17</v>
      </c>
      <c r="D316" s="14">
        <v>2</v>
      </c>
      <c r="E316" s="14">
        <v>520</v>
      </c>
      <c r="F316" s="14">
        <f>D316*E316</f>
        <v>1040</v>
      </c>
    </row>
    <row r="317" spans="1:6" ht="18" customHeight="1" x14ac:dyDescent="0.25">
      <c r="A317" s="12">
        <v>3</v>
      </c>
      <c r="B317" s="13" t="s">
        <v>193</v>
      </c>
      <c r="C317" s="12" t="s">
        <v>17</v>
      </c>
      <c r="D317" s="14">
        <v>6</v>
      </c>
      <c r="E317" s="14">
        <v>520</v>
      </c>
      <c r="F317" s="14">
        <f>D317*E317</f>
        <v>3120</v>
      </c>
    </row>
    <row r="318" spans="1:6" ht="18" customHeight="1" x14ac:dyDescent="0.25">
      <c r="A318" s="12">
        <v>4</v>
      </c>
      <c r="B318" s="13" t="s">
        <v>194</v>
      </c>
      <c r="C318" s="12" t="s">
        <v>17</v>
      </c>
      <c r="D318" s="14">
        <v>3</v>
      </c>
      <c r="E318" s="14">
        <v>220</v>
      </c>
      <c r="F318" s="14">
        <f>D318*E318</f>
        <v>660</v>
      </c>
    </row>
    <row r="319" spans="1:6" ht="18" customHeight="1" x14ac:dyDescent="0.25">
      <c r="A319" s="12">
        <v>5</v>
      </c>
      <c r="B319" s="13" t="s">
        <v>195</v>
      </c>
      <c r="C319" s="12" t="s">
        <v>17</v>
      </c>
      <c r="D319" s="14">
        <v>1</v>
      </c>
      <c r="E319" s="14">
        <v>320</v>
      </c>
      <c r="F319" s="14">
        <f>D319*E319</f>
        <v>320</v>
      </c>
    </row>
    <row r="320" spans="1:6" ht="18" customHeight="1" x14ac:dyDescent="0.25">
      <c r="A320" s="15"/>
      <c r="B320" s="16" t="s">
        <v>196</v>
      </c>
      <c r="C320" s="17"/>
      <c r="D320" s="17"/>
      <c r="E320" s="17"/>
      <c r="F320" s="18">
        <f>SUM(F315:F319)</f>
        <v>6700</v>
      </c>
    </row>
    <row r="321" spans="1:6" ht="18" customHeight="1" x14ac:dyDescent="0.25"/>
    <row r="322" spans="1:6" ht="18" customHeight="1" x14ac:dyDescent="0.25"/>
    <row r="323" spans="1:6" ht="18" customHeight="1" x14ac:dyDescent="0.25">
      <c r="A323" s="6" t="s">
        <v>4</v>
      </c>
      <c r="B323" s="7" t="s">
        <v>5</v>
      </c>
      <c r="C323" s="8" t="s">
        <v>6</v>
      </c>
      <c r="D323" s="8" t="s">
        <v>7</v>
      </c>
      <c r="E323" s="8" t="s">
        <v>8</v>
      </c>
      <c r="F323" s="6" t="s">
        <v>9</v>
      </c>
    </row>
    <row r="324" spans="1:6" ht="18" customHeight="1" x14ac:dyDescent="0.25">
      <c r="A324" s="9"/>
      <c r="B324" s="10" t="s">
        <v>197</v>
      </c>
      <c r="C324" s="11"/>
      <c r="D324" s="11"/>
      <c r="E324" s="11"/>
      <c r="F324" s="9"/>
    </row>
    <row r="325" spans="1:6" ht="18" customHeight="1" x14ac:dyDescent="0.25">
      <c r="A325" s="12">
        <v>1</v>
      </c>
      <c r="B325" s="13" t="s">
        <v>198</v>
      </c>
      <c r="C325" s="12" t="s">
        <v>17</v>
      </c>
      <c r="D325" s="14">
        <v>7</v>
      </c>
      <c r="E325" s="14">
        <v>420</v>
      </c>
      <c r="F325" s="14">
        <f>D325*E325</f>
        <v>2940</v>
      </c>
    </row>
    <row r="326" spans="1:6" ht="18" customHeight="1" x14ac:dyDescent="0.25">
      <c r="A326" s="12">
        <v>2</v>
      </c>
      <c r="B326" s="13" t="s">
        <v>199</v>
      </c>
      <c r="C326" s="12" t="s">
        <v>17</v>
      </c>
      <c r="D326" s="14">
        <v>1</v>
      </c>
      <c r="E326" s="14">
        <v>980</v>
      </c>
      <c r="F326" s="14">
        <f>D326*E326</f>
        <v>980</v>
      </c>
    </row>
    <row r="327" spans="1:6" ht="18" customHeight="1" x14ac:dyDescent="0.25">
      <c r="A327" s="12">
        <v>3</v>
      </c>
      <c r="B327" s="13" t="s">
        <v>200</v>
      </c>
      <c r="C327" s="12" t="s">
        <v>17</v>
      </c>
      <c r="D327" s="14">
        <v>1</v>
      </c>
      <c r="E327" s="14">
        <v>850</v>
      </c>
      <c r="F327" s="14">
        <f>D327*E327</f>
        <v>850</v>
      </c>
    </row>
    <row r="328" spans="1:6" ht="18" customHeight="1" x14ac:dyDescent="0.25">
      <c r="A328" s="15"/>
      <c r="B328" s="16" t="s">
        <v>201</v>
      </c>
      <c r="C328" s="17"/>
      <c r="D328" s="17"/>
      <c r="E328" s="17"/>
      <c r="F328" s="18">
        <f>SUM(F325:F327)</f>
        <v>4770</v>
      </c>
    </row>
    <row r="329" spans="1:6" ht="18" customHeight="1" x14ac:dyDescent="0.25"/>
    <row r="330" spans="1:6" ht="18" customHeight="1" x14ac:dyDescent="0.25"/>
    <row r="331" spans="1:6" ht="18" customHeight="1" x14ac:dyDescent="0.25">
      <c r="A331" s="6" t="s">
        <v>4</v>
      </c>
      <c r="B331" s="7" t="s">
        <v>5</v>
      </c>
      <c r="C331" s="8" t="s">
        <v>6</v>
      </c>
      <c r="D331" s="8" t="s">
        <v>7</v>
      </c>
      <c r="E331" s="8" t="s">
        <v>8</v>
      </c>
      <c r="F331" s="6" t="s">
        <v>9</v>
      </c>
    </row>
    <row r="332" spans="1:6" ht="18" customHeight="1" x14ac:dyDescent="0.25">
      <c r="A332" s="9"/>
      <c r="B332" s="10" t="s">
        <v>202</v>
      </c>
      <c r="C332" s="11"/>
      <c r="D332" s="11"/>
      <c r="E332" s="11"/>
      <c r="F332" s="9"/>
    </row>
    <row r="333" spans="1:6" ht="66" customHeight="1" x14ac:dyDescent="0.25">
      <c r="A333" s="12">
        <v>1</v>
      </c>
      <c r="B333" s="13" t="s">
        <v>203</v>
      </c>
      <c r="C333" s="12" t="s">
        <v>17</v>
      </c>
      <c r="D333" s="14">
        <v>1</v>
      </c>
      <c r="E333" s="14">
        <v>26500</v>
      </c>
      <c r="F333" s="14">
        <f>D333*E333</f>
        <v>26500</v>
      </c>
    </row>
    <row r="334" spans="1:6" ht="18" customHeight="1" x14ac:dyDescent="0.25">
      <c r="A334" s="15"/>
      <c r="B334" s="16" t="s">
        <v>204</v>
      </c>
      <c r="C334" s="17"/>
      <c r="D334" s="17"/>
      <c r="E334" s="17"/>
      <c r="F334" s="18">
        <f>SUM(F333:F333)</f>
        <v>26500</v>
      </c>
    </row>
    <row r="335" spans="1:6" ht="18" customHeight="1" x14ac:dyDescent="0.25"/>
    <row r="336" spans="1:6" ht="18" customHeight="1" x14ac:dyDescent="0.25"/>
    <row r="337" spans="1:6" ht="18" customHeight="1" x14ac:dyDescent="0.25">
      <c r="A337" s="3"/>
      <c r="B337" s="4" t="s">
        <v>205</v>
      </c>
      <c r="C337" s="5"/>
      <c r="D337" s="5"/>
      <c r="E337" s="5"/>
      <c r="F337" s="3"/>
    </row>
    <row r="338" spans="1:6" ht="18" customHeight="1" x14ac:dyDescent="0.25">
      <c r="A338" s="6" t="s">
        <v>4</v>
      </c>
      <c r="B338" s="7" t="s">
        <v>5</v>
      </c>
      <c r="C338" s="8" t="s">
        <v>6</v>
      </c>
      <c r="D338" s="8" t="s">
        <v>7</v>
      </c>
      <c r="E338" s="8" t="s">
        <v>8</v>
      </c>
      <c r="F338" s="6" t="s">
        <v>9</v>
      </c>
    </row>
    <row r="339" spans="1:6" ht="18" customHeight="1" x14ac:dyDescent="0.25">
      <c r="A339" s="9"/>
      <c r="B339" s="10" t="s">
        <v>206</v>
      </c>
      <c r="C339" s="11"/>
      <c r="D339" s="11"/>
      <c r="E339" s="11"/>
      <c r="F339" s="9"/>
    </row>
    <row r="340" spans="1:6" ht="18" customHeight="1" x14ac:dyDescent="0.25">
      <c r="A340" s="12">
        <v>1</v>
      </c>
      <c r="B340" s="13" t="s">
        <v>207</v>
      </c>
      <c r="C340" s="12" t="s">
        <v>29</v>
      </c>
      <c r="D340" s="14">
        <v>20</v>
      </c>
      <c r="E340" s="14">
        <v>420</v>
      </c>
      <c r="F340" s="14">
        <f>D340*E340</f>
        <v>8400</v>
      </c>
    </row>
    <row r="341" spans="1:6" ht="18" customHeight="1" x14ac:dyDescent="0.25">
      <c r="A341" s="15"/>
      <c r="B341" s="16" t="s">
        <v>208</v>
      </c>
      <c r="C341" s="17"/>
      <c r="D341" s="17"/>
      <c r="E341" s="17"/>
      <c r="F341" s="18">
        <f>SUM(F340:F340)</f>
        <v>8400</v>
      </c>
    </row>
    <row r="342" spans="1:6" ht="18" customHeight="1" x14ac:dyDescent="0.25"/>
    <row r="343" spans="1:6" ht="18" customHeight="1" x14ac:dyDescent="0.25"/>
    <row r="344" spans="1:6" ht="18" customHeight="1" x14ac:dyDescent="0.25">
      <c r="A344" s="6" t="s">
        <v>4</v>
      </c>
      <c r="B344" s="7" t="s">
        <v>5</v>
      </c>
      <c r="C344" s="8" t="s">
        <v>6</v>
      </c>
      <c r="D344" s="8" t="s">
        <v>7</v>
      </c>
      <c r="E344" s="8" t="s">
        <v>8</v>
      </c>
      <c r="F344" s="6" t="s">
        <v>9</v>
      </c>
    </row>
    <row r="345" spans="1:6" ht="18" customHeight="1" x14ac:dyDescent="0.25">
      <c r="A345" s="9"/>
      <c r="B345" s="10" t="s">
        <v>209</v>
      </c>
      <c r="C345" s="11"/>
      <c r="D345" s="11"/>
      <c r="E345" s="11"/>
      <c r="F345" s="9"/>
    </row>
    <row r="346" spans="1:6" ht="18" customHeight="1" x14ac:dyDescent="0.25">
      <c r="A346" s="12">
        <v>1</v>
      </c>
      <c r="B346" s="13" t="s">
        <v>210</v>
      </c>
      <c r="C346" s="12" t="s">
        <v>29</v>
      </c>
      <c r="D346" s="14">
        <v>115</v>
      </c>
      <c r="E346" s="14">
        <v>185</v>
      </c>
      <c r="F346" s="14">
        <f>D346*E346</f>
        <v>21275</v>
      </c>
    </row>
    <row r="347" spans="1:6" ht="18" customHeight="1" x14ac:dyDescent="0.25">
      <c r="A347" s="15"/>
      <c r="B347" s="16" t="s">
        <v>211</v>
      </c>
      <c r="C347" s="17"/>
      <c r="D347" s="17"/>
      <c r="E347" s="17"/>
      <c r="F347" s="18">
        <f>SUM(F346:F346)</f>
        <v>21275</v>
      </c>
    </row>
    <row r="348" spans="1:6" ht="18" customHeight="1" x14ac:dyDescent="0.25"/>
    <row r="349" spans="1:6" ht="18" customHeight="1" x14ac:dyDescent="0.25"/>
    <row r="350" spans="1:6" ht="18" customHeight="1" x14ac:dyDescent="0.25">
      <c r="A350" s="6" t="s">
        <v>4</v>
      </c>
      <c r="B350" s="7" t="s">
        <v>5</v>
      </c>
      <c r="C350" s="8" t="s">
        <v>6</v>
      </c>
      <c r="D350" s="8" t="s">
        <v>7</v>
      </c>
      <c r="E350" s="8" t="s">
        <v>8</v>
      </c>
      <c r="F350" s="6" t="s">
        <v>9</v>
      </c>
    </row>
    <row r="351" spans="1:6" ht="18" customHeight="1" x14ac:dyDescent="0.25">
      <c r="A351" s="9"/>
      <c r="B351" s="10" t="s">
        <v>212</v>
      </c>
      <c r="C351" s="11"/>
      <c r="D351" s="11"/>
      <c r="E351" s="11"/>
      <c r="F351" s="9"/>
    </row>
    <row r="352" spans="1:6" ht="18" customHeight="1" x14ac:dyDescent="0.25">
      <c r="A352" s="12">
        <v>1</v>
      </c>
      <c r="B352" s="13" t="s">
        <v>213</v>
      </c>
      <c r="C352" s="12" t="s">
        <v>65</v>
      </c>
      <c r="D352" s="14">
        <v>69</v>
      </c>
      <c r="E352" s="14">
        <v>85</v>
      </c>
      <c r="F352" s="14">
        <f>D352*E352</f>
        <v>5865</v>
      </c>
    </row>
    <row r="353" spans="1:6" ht="18" customHeight="1" x14ac:dyDescent="0.25">
      <c r="A353" s="15"/>
      <c r="B353" s="16" t="s">
        <v>214</v>
      </c>
      <c r="C353" s="17"/>
      <c r="D353" s="17"/>
      <c r="E353" s="17"/>
      <c r="F353" s="18">
        <f>SUM(F352:F352)</f>
        <v>5865</v>
      </c>
    </row>
    <row r="354" spans="1:6" ht="18" customHeight="1" x14ac:dyDescent="0.25"/>
    <row r="355" spans="1:6" ht="18" customHeight="1" x14ac:dyDescent="0.25"/>
    <row r="356" spans="1:6" ht="18" customHeight="1" x14ac:dyDescent="0.25">
      <c r="A356" s="6" t="s">
        <v>4</v>
      </c>
      <c r="B356" s="7" t="s">
        <v>5</v>
      </c>
      <c r="C356" s="8" t="s">
        <v>6</v>
      </c>
      <c r="D356" s="8" t="s">
        <v>7</v>
      </c>
      <c r="E356" s="8" t="s">
        <v>8</v>
      </c>
      <c r="F356" s="6" t="s">
        <v>9</v>
      </c>
    </row>
    <row r="357" spans="1:6" ht="18" customHeight="1" x14ac:dyDescent="0.25">
      <c r="A357" s="9"/>
      <c r="B357" s="10" t="s">
        <v>215</v>
      </c>
      <c r="C357" s="11"/>
      <c r="D357" s="11"/>
      <c r="E357" s="11"/>
      <c r="F357" s="9"/>
    </row>
    <row r="358" spans="1:6" ht="18" customHeight="1" x14ac:dyDescent="0.25">
      <c r="A358" s="12">
        <v>1</v>
      </c>
      <c r="B358" s="13" t="s">
        <v>216</v>
      </c>
      <c r="C358" s="12" t="s">
        <v>29</v>
      </c>
      <c r="D358" s="14">
        <v>40</v>
      </c>
      <c r="E358" s="14">
        <v>175</v>
      </c>
      <c r="F358" s="14">
        <f>D358*E358</f>
        <v>7000</v>
      </c>
    </row>
    <row r="359" spans="1:6" ht="18" customHeight="1" x14ac:dyDescent="0.25">
      <c r="A359" s="15"/>
      <c r="B359" s="16" t="s">
        <v>217</v>
      </c>
      <c r="C359" s="17"/>
      <c r="D359" s="17"/>
      <c r="E359" s="17"/>
      <c r="F359" s="18">
        <f>SUM(F358:F358)</f>
        <v>7000</v>
      </c>
    </row>
    <row r="360" spans="1:6" ht="18" customHeight="1" x14ac:dyDescent="0.25"/>
    <row r="361" spans="1:6" ht="18" customHeight="1" x14ac:dyDescent="0.25"/>
    <row r="362" spans="1:6" ht="18" customHeight="1" x14ac:dyDescent="0.25">
      <c r="A362" s="6" t="s">
        <v>4</v>
      </c>
      <c r="B362" s="7" t="s">
        <v>5</v>
      </c>
      <c r="C362" s="8" t="s">
        <v>6</v>
      </c>
      <c r="D362" s="8" t="s">
        <v>7</v>
      </c>
      <c r="E362" s="8" t="s">
        <v>8</v>
      </c>
      <c r="F362" s="6" t="s">
        <v>9</v>
      </c>
    </row>
    <row r="363" spans="1:6" ht="18" customHeight="1" x14ac:dyDescent="0.25">
      <c r="A363" s="9"/>
      <c r="B363" s="10" t="s">
        <v>218</v>
      </c>
      <c r="C363" s="11"/>
      <c r="D363" s="11"/>
      <c r="E363" s="11"/>
      <c r="F363" s="9"/>
    </row>
    <row r="364" spans="1:6" ht="18" customHeight="1" x14ac:dyDescent="0.25">
      <c r="A364" s="12">
        <v>1</v>
      </c>
      <c r="B364" s="13" t="s">
        <v>219</v>
      </c>
      <c r="C364" s="12" t="s">
        <v>29</v>
      </c>
      <c r="D364" s="14">
        <v>39</v>
      </c>
      <c r="E364" s="14">
        <v>75</v>
      </c>
      <c r="F364" s="14">
        <f>D364*E364</f>
        <v>2925</v>
      </c>
    </row>
    <row r="365" spans="1:6" ht="18" customHeight="1" x14ac:dyDescent="0.25">
      <c r="A365" s="12">
        <v>2</v>
      </c>
      <c r="B365" s="13" t="s">
        <v>220</v>
      </c>
      <c r="C365" s="12" t="s">
        <v>65</v>
      </c>
      <c r="D365" s="14">
        <v>36</v>
      </c>
      <c r="E365" s="14">
        <v>160</v>
      </c>
      <c r="F365" s="14">
        <f>D365*E365</f>
        <v>5760</v>
      </c>
    </row>
    <row r="366" spans="1:6" ht="18" customHeight="1" x14ac:dyDescent="0.25">
      <c r="A366" s="15"/>
      <c r="B366" s="16" t="s">
        <v>221</v>
      </c>
      <c r="C366" s="17"/>
      <c r="D366" s="17"/>
      <c r="E366" s="17"/>
      <c r="F366" s="18">
        <f>SUM(F364:F365)</f>
        <v>8685</v>
      </c>
    </row>
    <row r="367" spans="1:6" ht="18" customHeight="1" x14ac:dyDescent="0.25"/>
    <row r="368" spans="1:6" ht="18" customHeight="1" x14ac:dyDescent="0.25"/>
    <row r="369" spans="1:6" ht="18" customHeight="1" x14ac:dyDescent="0.25">
      <c r="A369" s="6" t="s">
        <v>4</v>
      </c>
      <c r="B369" s="7" t="s">
        <v>5</v>
      </c>
      <c r="C369" s="8" t="s">
        <v>6</v>
      </c>
      <c r="D369" s="8" t="s">
        <v>7</v>
      </c>
      <c r="E369" s="8" t="s">
        <v>8</v>
      </c>
      <c r="F369" s="6" t="s">
        <v>9</v>
      </c>
    </row>
    <row r="370" spans="1:6" ht="18" customHeight="1" x14ac:dyDescent="0.25">
      <c r="A370" s="9"/>
      <c r="B370" s="10" t="s">
        <v>222</v>
      </c>
      <c r="C370" s="11"/>
      <c r="D370" s="11"/>
      <c r="E370" s="11"/>
      <c r="F370" s="9"/>
    </row>
    <row r="371" spans="1:6" ht="18" customHeight="1" x14ac:dyDescent="0.25">
      <c r="A371" s="12">
        <v>1</v>
      </c>
      <c r="B371" s="13" t="s">
        <v>223</v>
      </c>
      <c r="C371" s="12" t="s">
        <v>29</v>
      </c>
      <c r="D371" s="14">
        <v>36</v>
      </c>
      <c r="E371" s="14">
        <v>70</v>
      </c>
      <c r="F371" s="14">
        <f>D371*E371</f>
        <v>2520</v>
      </c>
    </row>
    <row r="372" spans="1:6" ht="18" customHeight="1" x14ac:dyDescent="0.25">
      <c r="A372" s="12">
        <v>2</v>
      </c>
      <c r="B372" s="13" t="s">
        <v>224</v>
      </c>
      <c r="C372" s="12" t="s">
        <v>65</v>
      </c>
      <c r="D372" s="14">
        <v>36</v>
      </c>
      <c r="E372" s="14">
        <v>150</v>
      </c>
      <c r="F372" s="14">
        <f>D372*E372</f>
        <v>5400</v>
      </c>
    </row>
    <row r="373" spans="1:6" ht="18" customHeight="1" x14ac:dyDescent="0.25">
      <c r="A373" s="15"/>
      <c r="B373" s="16" t="s">
        <v>225</v>
      </c>
      <c r="C373" s="17"/>
      <c r="D373" s="17"/>
      <c r="E373" s="17"/>
      <c r="F373" s="18">
        <f>SUM(F371:F372)</f>
        <v>7920</v>
      </c>
    </row>
    <row r="374" spans="1:6" ht="18" customHeight="1" x14ac:dyDescent="0.25"/>
    <row r="375" spans="1:6" ht="18" customHeight="1" x14ac:dyDescent="0.25"/>
    <row r="376" spans="1:6" ht="18" customHeight="1" x14ac:dyDescent="0.25">
      <c r="A376" s="3"/>
      <c r="B376" s="4" t="s">
        <v>226</v>
      </c>
      <c r="C376" s="5"/>
      <c r="D376" s="5"/>
      <c r="E376" s="5"/>
      <c r="F376" s="3"/>
    </row>
    <row r="377" spans="1:6" ht="18" customHeight="1" x14ac:dyDescent="0.25">
      <c r="A377" s="6" t="s">
        <v>4</v>
      </c>
      <c r="B377" s="7" t="s">
        <v>5</v>
      </c>
      <c r="C377" s="8" t="s">
        <v>6</v>
      </c>
      <c r="D377" s="8" t="s">
        <v>7</v>
      </c>
      <c r="E377" s="8" t="s">
        <v>8</v>
      </c>
      <c r="F377" s="6" t="s">
        <v>9</v>
      </c>
    </row>
    <row r="378" spans="1:6" ht="18" customHeight="1" x14ac:dyDescent="0.25">
      <c r="A378" s="9"/>
      <c r="B378" s="10" t="s">
        <v>227</v>
      </c>
      <c r="C378" s="11"/>
      <c r="D378" s="11"/>
      <c r="E378" s="11"/>
      <c r="F378" s="9"/>
    </row>
    <row r="379" spans="1:6" ht="18" customHeight="1" x14ac:dyDescent="0.25">
      <c r="A379" s="12">
        <v>1</v>
      </c>
      <c r="B379" s="13" t="s">
        <v>228</v>
      </c>
      <c r="C379" s="12" t="s">
        <v>29</v>
      </c>
      <c r="D379" s="14">
        <v>107</v>
      </c>
      <c r="E379" s="14">
        <v>275</v>
      </c>
      <c r="F379" s="14">
        <f>D379*E379</f>
        <v>29425</v>
      </c>
    </row>
    <row r="380" spans="1:6" ht="18" customHeight="1" x14ac:dyDescent="0.25">
      <c r="A380" s="12">
        <v>2</v>
      </c>
      <c r="B380" s="13" t="s">
        <v>229</v>
      </c>
      <c r="C380" s="12" t="s">
        <v>65</v>
      </c>
      <c r="D380" s="14">
        <v>36</v>
      </c>
      <c r="E380" s="14">
        <v>160</v>
      </c>
      <c r="F380" s="14">
        <f>D380*E380</f>
        <v>5760</v>
      </c>
    </row>
    <row r="381" spans="1:6" ht="18" customHeight="1" x14ac:dyDescent="0.25">
      <c r="A381" s="15"/>
      <c r="B381" s="16" t="s">
        <v>230</v>
      </c>
      <c r="C381" s="17"/>
      <c r="D381" s="17"/>
      <c r="E381" s="17"/>
      <c r="F381" s="18">
        <f>SUM(F379:F380)</f>
        <v>35185</v>
      </c>
    </row>
    <row r="382" spans="1:6" ht="18" customHeight="1" x14ac:dyDescent="0.25"/>
    <row r="383" spans="1:6" ht="18" customHeight="1" x14ac:dyDescent="0.25"/>
    <row r="384" spans="1:6" ht="18" customHeight="1" x14ac:dyDescent="0.25">
      <c r="A384" s="6" t="s">
        <v>4</v>
      </c>
      <c r="B384" s="7" t="s">
        <v>5</v>
      </c>
      <c r="C384" s="8" t="s">
        <v>6</v>
      </c>
      <c r="D384" s="8" t="s">
        <v>7</v>
      </c>
      <c r="E384" s="8" t="s">
        <v>8</v>
      </c>
      <c r="F384" s="6" t="s">
        <v>9</v>
      </c>
    </row>
    <row r="385" spans="1:6" ht="18" customHeight="1" x14ac:dyDescent="0.25">
      <c r="A385" s="9"/>
      <c r="B385" s="10" t="s">
        <v>231</v>
      </c>
      <c r="C385" s="11"/>
      <c r="D385" s="11"/>
      <c r="E385" s="11"/>
      <c r="F385" s="9"/>
    </row>
    <row r="386" spans="1:6" ht="18" customHeight="1" x14ac:dyDescent="0.25">
      <c r="A386" s="12">
        <v>1</v>
      </c>
      <c r="B386" s="13" t="s">
        <v>232</v>
      </c>
      <c r="C386" s="12" t="s">
        <v>29</v>
      </c>
      <c r="D386" s="14">
        <v>115</v>
      </c>
      <c r="E386" s="14">
        <v>145</v>
      </c>
      <c r="F386" s="14">
        <f>D386*E386</f>
        <v>16675</v>
      </c>
    </row>
    <row r="387" spans="1:6" ht="18" customHeight="1" x14ac:dyDescent="0.25">
      <c r="A387" s="15"/>
      <c r="B387" s="16" t="s">
        <v>233</v>
      </c>
      <c r="C387" s="17"/>
      <c r="D387" s="17"/>
      <c r="E387" s="17"/>
      <c r="F387" s="18">
        <f>SUM(F386:F386)</f>
        <v>16675</v>
      </c>
    </row>
    <row r="388" spans="1:6" ht="18" customHeight="1" x14ac:dyDescent="0.25"/>
    <row r="389" spans="1:6" ht="18" customHeight="1" x14ac:dyDescent="0.25"/>
    <row r="390" spans="1:6" ht="18" customHeight="1" x14ac:dyDescent="0.25">
      <c r="A390" s="6" t="s">
        <v>4</v>
      </c>
      <c r="B390" s="7" t="s">
        <v>5</v>
      </c>
      <c r="C390" s="8" t="s">
        <v>6</v>
      </c>
      <c r="D390" s="8" t="s">
        <v>7</v>
      </c>
      <c r="E390" s="8" t="s">
        <v>8</v>
      </c>
      <c r="F390" s="6" t="s">
        <v>9</v>
      </c>
    </row>
    <row r="391" spans="1:6" ht="18" customHeight="1" x14ac:dyDescent="0.25">
      <c r="A391" s="9"/>
      <c r="B391" s="10" t="s">
        <v>234</v>
      </c>
      <c r="C391" s="11"/>
      <c r="D391" s="11"/>
      <c r="E391" s="11"/>
      <c r="F391" s="9"/>
    </row>
    <row r="392" spans="1:6" ht="18" customHeight="1" x14ac:dyDescent="0.25">
      <c r="A392" s="12">
        <v>1</v>
      </c>
      <c r="B392" s="13" t="s">
        <v>235</v>
      </c>
      <c r="C392" s="12" t="s">
        <v>29</v>
      </c>
      <c r="D392" s="14">
        <v>105</v>
      </c>
      <c r="E392" s="14">
        <v>145</v>
      </c>
      <c r="F392" s="14">
        <f>D392*E392</f>
        <v>15225</v>
      </c>
    </row>
    <row r="393" spans="1:6" ht="18" customHeight="1" x14ac:dyDescent="0.25">
      <c r="A393" s="12">
        <v>2</v>
      </c>
      <c r="B393" s="13" t="s">
        <v>236</v>
      </c>
      <c r="C393" s="12" t="s">
        <v>65</v>
      </c>
      <c r="D393" s="14">
        <v>36</v>
      </c>
      <c r="E393" s="14">
        <v>140</v>
      </c>
      <c r="F393" s="14">
        <f>D393*E393</f>
        <v>5040</v>
      </c>
    </row>
    <row r="394" spans="1:6" ht="18" customHeight="1" x14ac:dyDescent="0.25">
      <c r="A394" s="15"/>
      <c r="B394" s="16" t="s">
        <v>237</v>
      </c>
      <c r="C394" s="17"/>
      <c r="D394" s="17"/>
      <c r="E394" s="17"/>
      <c r="F394" s="18">
        <f>SUM(F392:F393)</f>
        <v>20265</v>
      </c>
    </row>
    <row r="395" spans="1:6" ht="18" customHeight="1" x14ac:dyDescent="0.25"/>
    <row r="396" spans="1:6" ht="18" customHeight="1" x14ac:dyDescent="0.25"/>
    <row r="397" spans="1:6" ht="18" customHeight="1" x14ac:dyDescent="0.25">
      <c r="A397" s="6" t="s">
        <v>4</v>
      </c>
      <c r="B397" s="7" t="s">
        <v>5</v>
      </c>
      <c r="C397" s="8" t="s">
        <v>6</v>
      </c>
      <c r="D397" s="8" t="s">
        <v>7</v>
      </c>
      <c r="E397" s="8" t="s">
        <v>8</v>
      </c>
      <c r="F397" s="6" t="s">
        <v>9</v>
      </c>
    </row>
    <row r="398" spans="1:6" ht="18" customHeight="1" x14ac:dyDescent="0.25">
      <c r="A398" s="9"/>
      <c r="B398" s="10" t="s">
        <v>238</v>
      </c>
      <c r="C398" s="11"/>
      <c r="D398" s="11"/>
      <c r="E398" s="11"/>
      <c r="F398" s="9"/>
    </row>
    <row r="399" spans="1:6" ht="18" customHeight="1" x14ac:dyDescent="0.25">
      <c r="A399" s="12">
        <v>1</v>
      </c>
      <c r="B399" s="13" t="s">
        <v>239</v>
      </c>
      <c r="C399" s="12" t="s">
        <v>29</v>
      </c>
      <c r="D399" s="14">
        <v>3</v>
      </c>
      <c r="E399" s="14">
        <v>280</v>
      </c>
      <c r="F399" s="14">
        <f>D399*E399</f>
        <v>840</v>
      </c>
    </row>
    <row r="400" spans="1:6" ht="18" customHeight="1" x14ac:dyDescent="0.25">
      <c r="A400" s="12">
        <v>2</v>
      </c>
      <c r="B400" s="13" t="s">
        <v>240</v>
      </c>
      <c r="C400" s="12" t="s">
        <v>65</v>
      </c>
      <c r="D400" s="14">
        <v>56</v>
      </c>
      <c r="E400" s="14">
        <v>110</v>
      </c>
      <c r="F400" s="14">
        <f>D400*E400</f>
        <v>6160</v>
      </c>
    </row>
    <row r="401" spans="1:6" ht="18" customHeight="1" x14ac:dyDescent="0.25">
      <c r="A401" s="15"/>
      <c r="B401" s="16" t="s">
        <v>241</v>
      </c>
      <c r="C401" s="17"/>
      <c r="D401" s="17"/>
      <c r="E401" s="17"/>
      <c r="F401" s="18">
        <f>SUM(F399:F400)</f>
        <v>7000</v>
      </c>
    </row>
    <row r="402" spans="1:6" ht="18" customHeight="1" x14ac:dyDescent="0.25"/>
    <row r="403" spans="1:6" ht="18" customHeight="1" x14ac:dyDescent="0.25"/>
    <row r="404" spans="1:6" ht="18" customHeight="1" x14ac:dyDescent="0.25">
      <c r="A404" s="6" t="s">
        <v>4</v>
      </c>
      <c r="B404" s="7" t="s">
        <v>5</v>
      </c>
      <c r="C404" s="8" t="s">
        <v>6</v>
      </c>
      <c r="D404" s="8" t="s">
        <v>7</v>
      </c>
      <c r="E404" s="8" t="s">
        <v>8</v>
      </c>
      <c r="F404" s="6" t="s">
        <v>9</v>
      </c>
    </row>
    <row r="405" spans="1:6" ht="18" customHeight="1" x14ac:dyDescent="0.25">
      <c r="A405" s="9"/>
      <c r="B405" s="10" t="s">
        <v>242</v>
      </c>
      <c r="C405" s="11"/>
      <c r="D405" s="11"/>
      <c r="E405" s="11"/>
      <c r="F405" s="9"/>
    </row>
    <row r="406" spans="1:6" ht="18" customHeight="1" x14ac:dyDescent="0.25"/>
    <row r="407" spans="1:6" ht="18" customHeight="1" x14ac:dyDescent="0.25">
      <c r="A407" s="19">
        <v>1</v>
      </c>
      <c r="B407" s="20" t="s">
        <v>243</v>
      </c>
      <c r="C407" s="19"/>
      <c r="D407" s="19"/>
      <c r="E407" s="19" t="s">
        <v>244</v>
      </c>
      <c r="F407" s="21">
        <f>F10</f>
        <v>14970</v>
      </c>
    </row>
    <row r="408" spans="1:6" ht="18" customHeight="1" x14ac:dyDescent="0.25">
      <c r="A408" s="19">
        <v>2</v>
      </c>
      <c r="B408" s="20" t="s">
        <v>245</v>
      </c>
      <c r="C408" s="19"/>
      <c r="D408" s="19"/>
      <c r="E408" s="19" t="s">
        <v>244</v>
      </c>
      <c r="F408" s="21">
        <f>F27</f>
        <v>9104</v>
      </c>
    </row>
    <row r="409" spans="1:6" ht="18" customHeight="1" x14ac:dyDescent="0.25">
      <c r="A409" s="19">
        <v>3</v>
      </c>
      <c r="B409" s="20" t="s">
        <v>246</v>
      </c>
      <c r="C409" s="19"/>
      <c r="D409" s="19"/>
      <c r="E409" s="19" t="s">
        <v>244</v>
      </c>
      <c r="F409" s="21">
        <f>F42</f>
        <v>23620</v>
      </c>
    </row>
    <row r="410" spans="1:6" ht="18" customHeight="1" x14ac:dyDescent="0.25">
      <c r="A410" s="19">
        <v>4</v>
      </c>
      <c r="B410" s="20" t="s">
        <v>247</v>
      </c>
      <c r="C410" s="19"/>
      <c r="D410" s="19"/>
      <c r="E410" s="19" t="s">
        <v>244</v>
      </c>
      <c r="F410" s="21">
        <f>F51</f>
        <v>14356</v>
      </c>
    </row>
    <row r="411" spans="1:6" ht="18" customHeight="1" x14ac:dyDescent="0.25">
      <c r="A411" s="19">
        <v>5</v>
      </c>
      <c r="B411" s="20" t="s">
        <v>248</v>
      </c>
      <c r="C411" s="19"/>
      <c r="D411" s="19"/>
      <c r="E411" s="19" t="s">
        <v>244</v>
      </c>
      <c r="F411" s="21">
        <f>F57</f>
        <v>1520</v>
      </c>
    </row>
    <row r="412" spans="1:6" ht="18" customHeight="1" x14ac:dyDescent="0.25">
      <c r="A412" s="19">
        <v>6</v>
      </c>
      <c r="B412" s="20" t="s">
        <v>249</v>
      </c>
      <c r="C412" s="19"/>
      <c r="D412" s="19"/>
      <c r="E412" s="19" t="s">
        <v>244</v>
      </c>
      <c r="F412" s="21">
        <f>F64</f>
        <v>24000</v>
      </c>
    </row>
    <row r="413" spans="1:6" ht="18" customHeight="1" x14ac:dyDescent="0.25">
      <c r="A413" s="19">
        <v>7</v>
      </c>
      <c r="B413" s="20" t="s">
        <v>250</v>
      </c>
      <c r="C413" s="19"/>
      <c r="D413" s="19"/>
      <c r="E413" s="19" t="s">
        <v>244</v>
      </c>
      <c r="F413" s="21">
        <f>F70</f>
        <v>6600</v>
      </c>
    </row>
    <row r="414" spans="1:6" ht="18" customHeight="1" x14ac:dyDescent="0.25">
      <c r="A414" s="19">
        <v>8</v>
      </c>
      <c r="B414" s="20" t="s">
        <v>251</v>
      </c>
      <c r="C414" s="19"/>
      <c r="D414" s="19"/>
      <c r="E414" s="19" t="s">
        <v>244</v>
      </c>
      <c r="F414" s="21">
        <f>F76</f>
        <v>2900</v>
      </c>
    </row>
    <row r="415" spans="1:6" ht="18" customHeight="1" x14ac:dyDescent="0.25">
      <c r="A415" s="19">
        <v>9</v>
      </c>
      <c r="B415" s="20" t="s">
        <v>252</v>
      </c>
      <c r="C415" s="19"/>
      <c r="D415" s="19"/>
      <c r="E415" s="19" t="s">
        <v>244</v>
      </c>
      <c r="F415" s="21">
        <f>F82</f>
        <v>2240</v>
      </c>
    </row>
    <row r="416" spans="1:6" ht="18" customHeight="1" x14ac:dyDescent="0.25">
      <c r="A416" s="19">
        <v>10</v>
      </c>
      <c r="B416" s="20" t="s">
        <v>253</v>
      </c>
      <c r="C416" s="19"/>
      <c r="D416" s="19"/>
      <c r="E416" s="19" t="s">
        <v>244</v>
      </c>
      <c r="F416" s="21">
        <f>F88</f>
        <v>2040</v>
      </c>
    </row>
    <row r="417" spans="1:6" ht="18" customHeight="1" x14ac:dyDescent="0.25">
      <c r="A417" s="19">
        <v>11</v>
      </c>
      <c r="B417" s="20" t="s">
        <v>254</v>
      </c>
      <c r="C417" s="19"/>
      <c r="D417" s="19"/>
      <c r="E417" s="19" t="s">
        <v>244</v>
      </c>
      <c r="F417" s="21">
        <f>F94</f>
        <v>2376</v>
      </c>
    </row>
    <row r="418" spans="1:6" ht="18" customHeight="1" x14ac:dyDescent="0.25">
      <c r="A418" s="19">
        <v>12</v>
      </c>
      <c r="B418" s="20" t="s">
        <v>255</v>
      </c>
      <c r="C418" s="19"/>
      <c r="D418" s="19"/>
      <c r="E418" s="19" t="s">
        <v>244</v>
      </c>
      <c r="F418" s="21">
        <f>F100</f>
        <v>3240</v>
      </c>
    </row>
    <row r="419" spans="1:6" ht="18" customHeight="1" x14ac:dyDescent="0.25">
      <c r="A419" s="19">
        <v>13</v>
      </c>
      <c r="B419" s="20" t="s">
        <v>256</v>
      </c>
      <c r="C419" s="19"/>
      <c r="D419" s="19"/>
      <c r="E419" s="19" t="s">
        <v>244</v>
      </c>
      <c r="F419" s="21">
        <f>F106</f>
        <v>3565</v>
      </c>
    </row>
    <row r="420" spans="1:6" ht="18" customHeight="1" x14ac:dyDescent="0.25">
      <c r="A420" s="19">
        <v>14</v>
      </c>
      <c r="B420" s="20" t="s">
        <v>257</v>
      </c>
      <c r="C420" s="19"/>
      <c r="D420" s="19"/>
      <c r="E420" s="19" t="s">
        <v>244</v>
      </c>
      <c r="F420" s="21">
        <f>F114</f>
        <v>10410</v>
      </c>
    </row>
    <row r="421" spans="1:6" ht="18" customHeight="1" x14ac:dyDescent="0.25">
      <c r="A421" s="19">
        <v>15</v>
      </c>
      <c r="B421" s="20" t="s">
        <v>258</v>
      </c>
      <c r="C421" s="19"/>
      <c r="D421" s="19"/>
      <c r="E421" s="19" t="s">
        <v>244</v>
      </c>
      <c r="F421" s="21">
        <f>F120</f>
        <v>10800</v>
      </c>
    </row>
    <row r="422" spans="1:6" ht="18" customHeight="1" x14ac:dyDescent="0.25">
      <c r="A422" s="19">
        <v>16</v>
      </c>
      <c r="B422" s="20" t="s">
        <v>259</v>
      </c>
      <c r="C422" s="19"/>
      <c r="D422" s="19"/>
      <c r="E422" s="19" t="s">
        <v>244</v>
      </c>
      <c r="F422" s="21">
        <f>F127</f>
        <v>6380</v>
      </c>
    </row>
    <row r="423" spans="1:6" ht="18" customHeight="1" x14ac:dyDescent="0.25">
      <c r="A423" s="19">
        <v>17</v>
      </c>
      <c r="B423" s="20" t="s">
        <v>260</v>
      </c>
      <c r="C423" s="19"/>
      <c r="D423" s="19"/>
      <c r="E423" s="19" t="s">
        <v>244</v>
      </c>
      <c r="F423" s="21">
        <f>F133</f>
        <v>1920</v>
      </c>
    </row>
    <row r="424" spans="1:6" ht="18" customHeight="1" x14ac:dyDescent="0.25">
      <c r="A424" s="19">
        <v>18</v>
      </c>
      <c r="B424" s="20" t="s">
        <v>261</v>
      </c>
      <c r="C424" s="19"/>
      <c r="D424" s="19"/>
      <c r="E424" s="19" t="s">
        <v>244</v>
      </c>
      <c r="F424" s="21">
        <f>F139</f>
        <v>6400</v>
      </c>
    </row>
    <row r="425" spans="1:6" ht="18" customHeight="1" x14ac:dyDescent="0.25">
      <c r="A425" s="19">
        <v>19</v>
      </c>
      <c r="B425" s="20" t="s">
        <v>262</v>
      </c>
      <c r="C425" s="19"/>
      <c r="D425" s="19"/>
      <c r="E425" s="19" t="s">
        <v>244</v>
      </c>
      <c r="F425" s="21">
        <f>F145</f>
        <v>1105</v>
      </c>
    </row>
    <row r="426" spans="1:6" ht="18" customHeight="1" x14ac:dyDescent="0.25">
      <c r="A426" s="19">
        <v>20</v>
      </c>
      <c r="B426" s="20" t="s">
        <v>263</v>
      </c>
      <c r="C426" s="19"/>
      <c r="D426" s="19"/>
      <c r="E426" s="19" t="s">
        <v>244</v>
      </c>
      <c r="F426" s="21">
        <f>F151</f>
        <v>3840</v>
      </c>
    </row>
    <row r="427" spans="1:6" ht="18" customHeight="1" x14ac:dyDescent="0.25">
      <c r="A427" s="19">
        <v>21</v>
      </c>
      <c r="B427" s="20" t="s">
        <v>264</v>
      </c>
      <c r="C427" s="19"/>
      <c r="D427" s="19"/>
      <c r="E427" s="19" t="s">
        <v>244</v>
      </c>
      <c r="F427" s="21">
        <f>F159</f>
        <v>12515</v>
      </c>
    </row>
    <row r="428" spans="1:6" ht="18" customHeight="1" x14ac:dyDescent="0.25">
      <c r="A428" s="19">
        <v>22</v>
      </c>
      <c r="B428" s="20" t="s">
        <v>265</v>
      </c>
      <c r="C428" s="19"/>
      <c r="D428" s="19"/>
      <c r="E428" s="19" t="s">
        <v>244</v>
      </c>
      <c r="F428" s="21">
        <f>F166</f>
        <v>34500</v>
      </c>
    </row>
    <row r="429" spans="1:6" ht="18" customHeight="1" x14ac:dyDescent="0.25">
      <c r="A429" s="19">
        <v>23</v>
      </c>
      <c r="B429" s="20" t="s">
        <v>266</v>
      </c>
      <c r="C429" s="19"/>
      <c r="D429" s="19"/>
      <c r="E429" s="19" t="s">
        <v>244</v>
      </c>
      <c r="F429" s="21">
        <f>F172</f>
        <v>9600</v>
      </c>
    </row>
    <row r="430" spans="1:6" ht="18" customHeight="1" x14ac:dyDescent="0.25">
      <c r="A430" s="19">
        <v>24</v>
      </c>
      <c r="B430" s="20" t="s">
        <v>267</v>
      </c>
      <c r="C430" s="19"/>
      <c r="D430" s="19"/>
      <c r="E430" s="19" t="s">
        <v>244</v>
      </c>
      <c r="F430" s="21">
        <f>F178</f>
        <v>8400</v>
      </c>
    </row>
    <row r="431" spans="1:6" ht="18" customHeight="1" x14ac:dyDescent="0.25">
      <c r="A431" s="19">
        <v>25</v>
      </c>
      <c r="B431" s="20" t="s">
        <v>268</v>
      </c>
      <c r="C431" s="19"/>
      <c r="D431" s="19"/>
      <c r="E431" s="19" t="s">
        <v>244</v>
      </c>
      <c r="F431" s="21">
        <f>F187</f>
        <v>29850</v>
      </c>
    </row>
    <row r="432" spans="1:6" ht="18" customHeight="1" x14ac:dyDescent="0.25">
      <c r="A432" s="19">
        <v>26</v>
      </c>
      <c r="B432" s="20" t="s">
        <v>269</v>
      </c>
      <c r="C432" s="19"/>
      <c r="D432" s="19"/>
      <c r="E432" s="19" t="s">
        <v>244</v>
      </c>
      <c r="F432" s="21">
        <f>F193</f>
        <v>2340</v>
      </c>
    </row>
    <row r="433" spans="1:6" ht="18" customHeight="1" x14ac:dyDescent="0.25">
      <c r="A433" s="19">
        <v>27</v>
      </c>
      <c r="B433" s="20" t="s">
        <v>270</v>
      </c>
      <c r="C433" s="19"/>
      <c r="D433" s="19"/>
      <c r="E433" s="19" t="s">
        <v>244</v>
      </c>
      <c r="F433" s="21">
        <f>F199</f>
        <v>18500</v>
      </c>
    </row>
    <row r="434" spans="1:6" ht="18" customHeight="1" x14ac:dyDescent="0.25">
      <c r="A434" s="19">
        <v>28</v>
      </c>
      <c r="B434" s="20" t="s">
        <v>271</v>
      </c>
      <c r="C434" s="19"/>
      <c r="D434" s="19"/>
      <c r="E434" s="19" t="s">
        <v>244</v>
      </c>
      <c r="F434" s="21">
        <f>F207</f>
        <v>33920</v>
      </c>
    </row>
    <row r="435" spans="1:6" ht="18" customHeight="1" x14ac:dyDescent="0.25">
      <c r="A435" s="19">
        <v>29</v>
      </c>
      <c r="B435" s="20" t="s">
        <v>272</v>
      </c>
      <c r="C435" s="19"/>
      <c r="D435" s="19"/>
      <c r="E435" s="19" t="s">
        <v>244</v>
      </c>
      <c r="F435" s="21">
        <f>F213</f>
        <v>10560</v>
      </c>
    </row>
    <row r="436" spans="1:6" ht="18" customHeight="1" x14ac:dyDescent="0.25">
      <c r="A436" s="19">
        <v>30</v>
      </c>
      <c r="B436" s="20" t="s">
        <v>273</v>
      </c>
      <c r="C436" s="19"/>
      <c r="D436" s="19"/>
      <c r="E436" s="19" t="s">
        <v>244</v>
      </c>
      <c r="F436" s="21">
        <f>F220</f>
        <v>3600</v>
      </c>
    </row>
    <row r="437" spans="1:6" ht="18" customHeight="1" x14ac:dyDescent="0.25">
      <c r="A437" s="19">
        <v>31</v>
      </c>
      <c r="B437" s="20" t="s">
        <v>274</v>
      </c>
      <c r="C437" s="19"/>
      <c r="D437" s="19"/>
      <c r="E437" s="19" t="s">
        <v>244</v>
      </c>
      <c r="F437" s="21">
        <f>F227</f>
        <v>4950</v>
      </c>
    </row>
    <row r="438" spans="1:6" ht="18" customHeight="1" x14ac:dyDescent="0.25">
      <c r="A438" s="19">
        <v>32</v>
      </c>
      <c r="B438" s="20" t="s">
        <v>275</v>
      </c>
      <c r="C438" s="19"/>
      <c r="D438" s="19"/>
      <c r="E438" s="19" t="s">
        <v>244</v>
      </c>
      <c r="F438" s="21">
        <f>F233</f>
        <v>28800</v>
      </c>
    </row>
    <row r="439" spans="1:6" ht="18" customHeight="1" x14ac:dyDescent="0.25">
      <c r="A439" s="19">
        <v>33</v>
      </c>
      <c r="B439" s="20" t="s">
        <v>276</v>
      </c>
      <c r="C439" s="19"/>
      <c r="D439" s="19"/>
      <c r="E439" s="19" t="s">
        <v>244</v>
      </c>
      <c r="F439" s="21">
        <f>F241</f>
        <v>1550</v>
      </c>
    </row>
    <row r="440" spans="1:6" ht="18" customHeight="1" x14ac:dyDescent="0.25">
      <c r="A440" s="19">
        <v>34</v>
      </c>
      <c r="B440" s="20" t="s">
        <v>277</v>
      </c>
      <c r="C440" s="19"/>
      <c r="D440" s="19"/>
      <c r="E440" s="19" t="s">
        <v>244</v>
      </c>
      <c r="F440" s="21">
        <f>F247</f>
        <v>16800</v>
      </c>
    </row>
    <row r="441" spans="1:6" ht="18" customHeight="1" x14ac:dyDescent="0.25">
      <c r="A441" s="19">
        <v>35</v>
      </c>
      <c r="B441" s="20" t="s">
        <v>278</v>
      </c>
      <c r="C441" s="19"/>
      <c r="D441" s="19"/>
      <c r="E441" s="19" t="s">
        <v>244</v>
      </c>
      <c r="F441" s="21">
        <f>F257</f>
        <v>12580</v>
      </c>
    </row>
    <row r="442" spans="1:6" ht="18" customHeight="1" x14ac:dyDescent="0.25">
      <c r="A442" s="19">
        <v>36</v>
      </c>
      <c r="B442" s="20" t="s">
        <v>279</v>
      </c>
      <c r="C442" s="19"/>
      <c r="D442" s="19"/>
      <c r="E442" s="19" t="s">
        <v>244</v>
      </c>
      <c r="F442" s="21">
        <f>F265</f>
        <v>6800</v>
      </c>
    </row>
    <row r="443" spans="1:6" ht="18" customHeight="1" x14ac:dyDescent="0.25">
      <c r="A443" s="19">
        <v>37</v>
      </c>
      <c r="B443" s="20" t="s">
        <v>280</v>
      </c>
      <c r="C443" s="19"/>
      <c r="D443" s="19"/>
      <c r="E443" s="19" t="s">
        <v>244</v>
      </c>
      <c r="F443" s="21">
        <f>F272</f>
        <v>5050</v>
      </c>
    </row>
    <row r="444" spans="1:6" ht="18" customHeight="1" x14ac:dyDescent="0.25">
      <c r="A444" s="19">
        <v>38</v>
      </c>
      <c r="B444" s="20" t="s">
        <v>281</v>
      </c>
      <c r="C444" s="19"/>
      <c r="D444" s="19"/>
      <c r="E444" s="19" t="s">
        <v>244</v>
      </c>
      <c r="F444" s="21">
        <f>F279</f>
        <v>27800</v>
      </c>
    </row>
    <row r="445" spans="1:6" ht="18" customHeight="1" x14ac:dyDescent="0.25">
      <c r="A445" s="19">
        <v>39</v>
      </c>
      <c r="B445" s="20" t="s">
        <v>282</v>
      </c>
      <c r="C445" s="19"/>
      <c r="D445" s="19"/>
      <c r="E445" s="19" t="s">
        <v>244</v>
      </c>
      <c r="F445" s="21">
        <f>F285</f>
        <v>23100</v>
      </c>
    </row>
    <row r="446" spans="1:6" ht="18" customHeight="1" x14ac:dyDescent="0.25">
      <c r="A446" s="19">
        <v>40</v>
      </c>
      <c r="B446" s="20" t="s">
        <v>283</v>
      </c>
      <c r="C446" s="19"/>
      <c r="D446" s="19"/>
      <c r="E446" s="19" t="s">
        <v>244</v>
      </c>
      <c r="F446" s="21">
        <f>F291</f>
        <v>23700</v>
      </c>
    </row>
    <row r="447" spans="1:6" ht="18" customHeight="1" x14ac:dyDescent="0.25">
      <c r="A447" s="19">
        <v>41</v>
      </c>
      <c r="B447" s="20" t="s">
        <v>284</v>
      </c>
      <c r="C447" s="19"/>
      <c r="D447" s="19"/>
      <c r="E447" s="19" t="s">
        <v>244</v>
      </c>
      <c r="F447" s="21">
        <f>F297</f>
        <v>7650</v>
      </c>
    </row>
    <row r="448" spans="1:6" ht="18" customHeight="1" x14ac:dyDescent="0.25">
      <c r="A448" s="19">
        <v>42</v>
      </c>
      <c r="B448" s="20" t="s">
        <v>285</v>
      </c>
      <c r="C448" s="19"/>
      <c r="D448" s="19"/>
      <c r="E448" s="19" t="s">
        <v>244</v>
      </c>
      <c r="F448" s="21">
        <f>F303</f>
        <v>8800</v>
      </c>
    </row>
    <row r="449" spans="1:6" ht="18" customHeight="1" x14ac:dyDescent="0.25">
      <c r="A449" s="19">
        <v>43</v>
      </c>
      <c r="B449" s="20" t="s">
        <v>286</v>
      </c>
      <c r="C449" s="19"/>
      <c r="D449" s="19"/>
      <c r="E449" s="19" t="s">
        <v>244</v>
      </c>
      <c r="F449" s="21">
        <f>F310</f>
        <v>9800</v>
      </c>
    </row>
    <row r="450" spans="1:6" ht="18" customHeight="1" x14ac:dyDescent="0.25">
      <c r="A450" s="19">
        <v>44</v>
      </c>
      <c r="B450" s="20" t="s">
        <v>287</v>
      </c>
      <c r="C450" s="19"/>
      <c r="D450" s="19"/>
      <c r="E450" s="19" t="s">
        <v>244</v>
      </c>
      <c r="F450" s="21">
        <f>F320</f>
        <v>6700</v>
      </c>
    </row>
    <row r="451" spans="1:6" ht="18" customHeight="1" x14ac:dyDescent="0.25">
      <c r="A451" s="19">
        <v>45</v>
      </c>
      <c r="B451" s="20" t="s">
        <v>288</v>
      </c>
      <c r="C451" s="19"/>
      <c r="D451" s="19"/>
      <c r="E451" s="19" t="s">
        <v>244</v>
      </c>
      <c r="F451" s="21">
        <f>F328</f>
        <v>4770</v>
      </c>
    </row>
    <row r="452" spans="1:6" ht="18" customHeight="1" x14ac:dyDescent="0.25">
      <c r="A452" s="19">
        <v>46</v>
      </c>
      <c r="B452" s="20" t="s">
        <v>289</v>
      </c>
      <c r="C452" s="19"/>
      <c r="D452" s="19"/>
      <c r="E452" s="19" t="s">
        <v>244</v>
      </c>
      <c r="F452" s="21">
        <f>F334</f>
        <v>26500</v>
      </c>
    </row>
    <row r="453" spans="1:6" ht="18" customHeight="1" x14ac:dyDescent="0.25">
      <c r="A453" s="19">
        <v>47</v>
      </c>
      <c r="B453" s="20" t="s">
        <v>290</v>
      </c>
      <c r="C453" s="19"/>
      <c r="D453" s="19"/>
      <c r="E453" s="19" t="s">
        <v>244</v>
      </c>
      <c r="F453" s="21">
        <f>F341</f>
        <v>8400</v>
      </c>
    </row>
    <row r="454" spans="1:6" ht="18" customHeight="1" x14ac:dyDescent="0.25">
      <c r="A454" s="19">
        <v>48</v>
      </c>
      <c r="B454" s="20" t="s">
        <v>291</v>
      </c>
      <c r="C454" s="19"/>
      <c r="D454" s="19"/>
      <c r="E454" s="19" t="s">
        <v>244</v>
      </c>
      <c r="F454" s="21">
        <f>F347</f>
        <v>21275</v>
      </c>
    </row>
    <row r="455" spans="1:6" ht="18" customHeight="1" x14ac:dyDescent="0.25">
      <c r="A455" s="19">
        <v>49</v>
      </c>
      <c r="B455" s="20" t="s">
        <v>292</v>
      </c>
      <c r="C455" s="19"/>
      <c r="D455" s="19"/>
      <c r="E455" s="19" t="s">
        <v>244</v>
      </c>
      <c r="F455" s="21">
        <f>F353</f>
        <v>5865</v>
      </c>
    </row>
    <row r="456" spans="1:6" ht="18" customHeight="1" x14ac:dyDescent="0.25">
      <c r="A456" s="19">
        <v>50</v>
      </c>
      <c r="B456" s="20" t="s">
        <v>293</v>
      </c>
      <c r="C456" s="19"/>
      <c r="D456" s="19"/>
      <c r="E456" s="19" t="s">
        <v>244</v>
      </c>
      <c r="F456" s="21">
        <f>F359</f>
        <v>7000</v>
      </c>
    </row>
    <row r="457" spans="1:6" ht="18" customHeight="1" x14ac:dyDescent="0.25">
      <c r="A457" s="19">
        <v>51</v>
      </c>
      <c r="B457" s="20" t="s">
        <v>294</v>
      </c>
      <c r="C457" s="19"/>
      <c r="D457" s="19"/>
      <c r="E457" s="19" t="s">
        <v>244</v>
      </c>
      <c r="F457" s="21">
        <f>F366</f>
        <v>8685</v>
      </c>
    </row>
    <row r="458" spans="1:6" ht="18" customHeight="1" x14ac:dyDescent="0.25">
      <c r="A458" s="19">
        <v>52</v>
      </c>
      <c r="B458" s="20" t="s">
        <v>295</v>
      </c>
      <c r="C458" s="19"/>
      <c r="D458" s="19"/>
      <c r="E458" s="19" t="s">
        <v>244</v>
      </c>
      <c r="F458" s="21">
        <f>F373</f>
        <v>7920</v>
      </c>
    </row>
    <row r="459" spans="1:6" ht="18" customHeight="1" x14ac:dyDescent="0.25">
      <c r="A459" s="19">
        <v>53</v>
      </c>
      <c r="B459" s="20" t="s">
        <v>296</v>
      </c>
      <c r="C459" s="19"/>
      <c r="D459" s="19"/>
      <c r="E459" s="19" t="s">
        <v>244</v>
      </c>
      <c r="F459" s="21">
        <f>F381</f>
        <v>35185</v>
      </c>
    </row>
    <row r="460" spans="1:6" ht="18" customHeight="1" x14ac:dyDescent="0.25">
      <c r="A460" s="19">
        <v>54</v>
      </c>
      <c r="B460" s="20" t="s">
        <v>297</v>
      </c>
      <c r="C460" s="19"/>
      <c r="D460" s="19"/>
      <c r="E460" s="19" t="s">
        <v>244</v>
      </c>
      <c r="F460" s="21">
        <f>F387</f>
        <v>16675</v>
      </c>
    </row>
    <row r="461" spans="1:6" ht="18" customHeight="1" x14ac:dyDescent="0.25">
      <c r="A461" s="19">
        <v>55</v>
      </c>
      <c r="B461" s="20" t="s">
        <v>298</v>
      </c>
      <c r="C461" s="19"/>
      <c r="D461" s="19"/>
      <c r="E461" s="19" t="s">
        <v>244</v>
      </c>
      <c r="F461" s="21">
        <f>F394</f>
        <v>20265</v>
      </c>
    </row>
    <row r="462" spans="1:6" ht="18" customHeight="1" x14ac:dyDescent="0.25">
      <c r="A462" s="19">
        <v>56</v>
      </c>
      <c r="B462" s="20" t="s">
        <v>299</v>
      </c>
      <c r="C462" s="19"/>
      <c r="D462" s="19"/>
      <c r="E462" s="19" t="s">
        <v>244</v>
      </c>
      <c r="F462" s="21">
        <f>F401</f>
        <v>7000</v>
      </c>
    </row>
    <row r="463" spans="1:6" ht="18" customHeight="1" x14ac:dyDescent="0.25"/>
    <row r="464" spans="1:6" ht="18" customHeight="1" x14ac:dyDescent="0.25">
      <c r="A464" s="15"/>
      <c r="B464" s="16" t="s">
        <v>300</v>
      </c>
      <c r="C464" s="17"/>
      <c r="D464" s="17"/>
      <c r="E464" s="17" t="s">
        <v>244</v>
      </c>
      <c r="F464" s="18">
        <f>SUM(F407:F462)</f>
        <v>668791</v>
      </c>
    </row>
    <row r="465" spans="1:6" ht="18" customHeight="1" x14ac:dyDescent="0.25">
      <c r="A465" s="15"/>
      <c r="B465" s="16" t="s">
        <v>301</v>
      </c>
      <c r="C465" s="17"/>
      <c r="D465" s="17"/>
      <c r="E465" s="17" t="s">
        <v>244</v>
      </c>
      <c r="F465" s="18">
        <f>F464*10%</f>
        <v>66879.100000000006</v>
      </c>
    </row>
    <row r="466" spans="1:6" ht="18" customHeight="1" x14ac:dyDescent="0.25"/>
    <row r="467" spans="1:6" ht="18" customHeight="1" x14ac:dyDescent="0.25">
      <c r="A467" s="22"/>
      <c r="B467" s="23" t="s">
        <v>302</v>
      </c>
      <c r="C467" s="24"/>
      <c r="D467" s="24"/>
      <c r="E467" s="24" t="s">
        <v>244</v>
      </c>
      <c r="F467" s="25">
        <f>F464+F465</f>
        <v>735670.1</v>
      </c>
    </row>
    <row r="468" spans="1:6" ht="18" customHeight="1" x14ac:dyDescent="0.25"/>
    <row r="469" spans="1:6" ht="18" customHeight="1" x14ac:dyDescent="0.25">
      <c r="A469" s="26"/>
      <c r="B469" s="27" t="s">
        <v>303</v>
      </c>
      <c r="C469" s="26"/>
      <c r="D469" s="26"/>
      <c r="E469" s="26" t="s">
        <v>244</v>
      </c>
      <c r="F469" s="28">
        <v>735670.1</v>
      </c>
    </row>
    <row r="470" spans="1:6" ht="18" customHeight="1" x14ac:dyDescent="0.25">
      <c r="A470" s="29"/>
      <c r="B470" s="30" t="s">
        <v>304</v>
      </c>
      <c r="C470" s="29"/>
      <c r="D470" s="29"/>
      <c r="E470" s="29" t="s">
        <v>244</v>
      </c>
      <c r="F470" s="31">
        <f>F467-F469</f>
        <v>0</v>
      </c>
    </row>
  </sheetData>
  <autoFilter ref="A5:F46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 BOX OBJECTS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luyando shilukukwa</cp:lastModifiedBy>
  <dcterms:created xsi:type="dcterms:W3CDTF">2026-06-04T18:06:09Z</dcterms:created>
  <dcterms:modified xsi:type="dcterms:W3CDTF">2026-06-04T21:40:41Z</dcterms:modified>
</cp:coreProperties>
</file>